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10" windowWidth="19140" windowHeight="7100" tabRatio="869" activeTab="4"/>
  </bookViews>
  <sheets>
    <sheet name="Control Center" sheetId="1" r:id="rId1"/>
    <sheet name="Delivery" sheetId="10" r:id="rId2"/>
    <sheet name="Quality Control" sheetId="2" r:id="rId3"/>
    <sheet name="Master Inventory" sheetId="7" r:id="rId4"/>
    <sheet name="Completed Builds" sheetId="9" r:id="rId5"/>
    <sheet name="Reports" sheetId="4" r:id="rId6"/>
    <sheet name="Report_Data" sheetId="11" r:id="rId7"/>
    <sheet name="Managers" sheetId="8" r:id="rId8"/>
    <sheet name="Backup" sheetId="12" r:id="rId9"/>
  </sheets>
  <calcPr calcId="145621"/>
  <pivotCaches>
    <pivotCache cacheId="6" r:id="rId10"/>
  </pivotCaches>
</workbook>
</file>

<file path=xl/calcChain.xml><?xml version="1.0" encoding="utf-8"?>
<calcChain xmlns="http://schemas.openxmlformats.org/spreadsheetml/2006/main">
  <c r="L71" i="12" l="1"/>
  <c r="I71" i="12"/>
  <c r="L70" i="12"/>
  <c r="I70" i="12"/>
  <c r="L69" i="12"/>
  <c r="I69" i="12"/>
  <c r="L68" i="12"/>
  <c r="I68" i="12"/>
  <c r="L67" i="12"/>
  <c r="I67" i="12"/>
  <c r="L66" i="12"/>
  <c r="I66" i="12"/>
  <c r="L65" i="12"/>
  <c r="I65" i="12"/>
  <c r="L64" i="12"/>
  <c r="I64" i="12"/>
  <c r="L63" i="12"/>
  <c r="I63" i="12"/>
  <c r="L62" i="12"/>
  <c r="I62" i="12"/>
  <c r="L61" i="12"/>
  <c r="I61" i="12"/>
  <c r="L60" i="12"/>
  <c r="I60" i="12"/>
  <c r="L59" i="12"/>
  <c r="I59" i="12"/>
  <c r="L58" i="12"/>
  <c r="I58" i="12"/>
  <c r="L57" i="12"/>
  <c r="I57" i="12"/>
  <c r="L56" i="12"/>
  <c r="I56" i="12"/>
  <c r="L55" i="12"/>
  <c r="I55" i="12"/>
  <c r="L54" i="12"/>
  <c r="I54" i="12"/>
  <c r="L53" i="12"/>
  <c r="I53" i="12"/>
  <c r="L52" i="12"/>
  <c r="I52" i="12"/>
  <c r="L51" i="12"/>
  <c r="I51" i="12"/>
  <c r="L50" i="12"/>
  <c r="I50" i="12"/>
  <c r="L49" i="12"/>
  <c r="I49" i="12"/>
  <c r="L48" i="12"/>
  <c r="I48" i="12"/>
  <c r="L47" i="12"/>
  <c r="I47" i="12"/>
  <c r="L46" i="12"/>
  <c r="I46" i="12"/>
  <c r="L45" i="12"/>
  <c r="I45" i="12"/>
  <c r="L44" i="12"/>
  <c r="I44" i="12"/>
  <c r="L43" i="12"/>
  <c r="I43" i="12"/>
  <c r="L42" i="12"/>
  <c r="I42" i="12"/>
  <c r="L41" i="12"/>
  <c r="I41" i="12"/>
  <c r="L40" i="12"/>
  <c r="I40" i="12"/>
  <c r="L39" i="12"/>
  <c r="I39" i="12"/>
  <c r="L38" i="12"/>
  <c r="I38" i="12"/>
  <c r="L37" i="12"/>
  <c r="I37" i="12"/>
  <c r="L36" i="12"/>
  <c r="I36" i="12"/>
  <c r="L35" i="12"/>
  <c r="I35" i="12"/>
  <c r="L34" i="12"/>
  <c r="I34" i="12"/>
  <c r="L33" i="12"/>
  <c r="I33" i="12"/>
  <c r="L32" i="12"/>
  <c r="I32" i="12"/>
  <c r="L31" i="12"/>
  <c r="I31" i="12"/>
  <c r="L30" i="12"/>
  <c r="I30" i="12"/>
  <c r="L29" i="12"/>
  <c r="I29" i="12"/>
  <c r="L28" i="12"/>
  <c r="I28" i="12"/>
  <c r="L27" i="12"/>
  <c r="I27" i="12"/>
  <c r="L26" i="12"/>
  <c r="I26" i="12"/>
  <c r="L25" i="12"/>
  <c r="I25" i="12"/>
  <c r="L24" i="12"/>
  <c r="I24" i="12"/>
  <c r="L23" i="12"/>
  <c r="I23" i="12"/>
  <c r="L22" i="12"/>
  <c r="I22" i="12"/>
  <c r="L21" i="12"/>
  <c r="I21" i="12"/>
  <c r="L20" i="12"/>
  <c r="I20" i="12"/>
  <c r="L19" i="12"/>
  <c r="I19" i="12"/>
  <c r="L18" i="12"/>
  <c r="I18" i="12"/>
  <c r="L17" i="12"/>
  <c r="I17" i="12"/>
  <c r="L16" i="12"/>
  <c r="I16" i="12"/>
  <c r="L15" i="12"/>
  <c r="I15" i="12"/>
  <c r="L14" i="12"/>
  <c r="I14" i="12"/>
  <c r="L13" i="12"/>
  <c r="I13" i="12"/>
  <c r="L12" i="12"/>
  <c r="I12" i="12"/>
  <c r="L11" i="12"/>
  <c r="I11" i="12"/>
  <c r="L10" i="12"/>
  <c r="I10" i="12"/>
  <c r="L9" i="12"/>
  <c r="I9" i="12"/>
  <c r="L8" i="12"/>
  <c r="I8" i="12"/>
  <c r="L7" i="12"/>
  <c r="I7" i="12"/>
  <c r="L6" i="12"/>
  <c r="I6" i="12"/>
  <c r="L5" i="12"/>
  <c r="I5" i="12"/>
  <c r="L4" i="12"/>
  <c r="I4" i="12"/>
  <c r="L3" i="12"/>
  <c r="I3" i="12"/>
  <c r="L2" i="12"/>
  <c r="I2" i="12"/>
  <c r="L1" i="12"/>
  <c r="I1" i="12"/>
  <c r="B20" i="1" l="1"/>
  <c r="I62" i="7" l="1"/>
  <c r="L76" i="7" l="1"/>
  <c r="L75" i="7"/>
  <c r="L74" i="7"/>
  <c r="L73" i="7"/>
  <c r="L72" i="7"/>
  <c r="L71" i="7"/>
  <c r="L70" i="7"/>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I68" i="7"/>
  <c r="I76" i="7"/>
  <c r="I67" i="7"/>
  <c r="I66" i="7"/>
  <c r="I65" i="7"/>
  <c r="I64" i="7"/>
  <c r="I63" i="7"/>
  <c r="I61" i="7"/>
  <c r="I60" i="7"/>
  <c r="I59" i="7"/>
  <c r="I75" i="7"/>
  <c r="I74" i="7"/>
  <c r="I58" i="7"/>
  <c r="I57" i="7"/>
  <c r="I73" i="7"/>
  <c r="I56" i="7"/>
  <c r="I55" i="7"/>
  <c r="I54" i="7"/>
  <c r="I53" i="7"/>
  <c r="I38" i="7"/>
  <c r="I6" i="7"/>
  <c r="I39" i="7"/>
  <c r="I40" i="7"/>
  <c r="I41" i="7"/>
  <c r="I42" i="7"/>
  <c r="I43" i="7"/>
  <c r="I44" i="7"/>
  <c r="I45" i="7"/>
  <c r="I46" i="7"/>
  <c r="I47" i="7"/>
  <c r="I48" i="7"/>
  <c r="I49" i="7"/>
  <c r="I50" i="7"/>
  <c r="I51" i="7"/>
  <c r="I52" i="7"/>
  <c r="I37" i="7"/>
  <c r="I36" i="7"/>
  <c r="I35" i="7"/>
  <c r="I34" i="7"/>
  <c r="I33" i="7"/>
  <c r="I32" i="7"/>
  <c r="I31" i="7"/>
  <c r="I30" i="7"/>
  <c r="I72" i="7"/>
  <c r="I29" i="7"/>
  <c r="I71" i="7"/>
  <c r="I70" i="7"/>
  <c r="I28" i="7"/>
  <c r="I27" i="7"/>
  <c r="I26" i="7"/>
  <c r="I25" i="7"/>
  <c r="I24" i="7"/>
  <c r="I23" i="7"/>
  <c r="I22" i="7"/>
  <c r="I21" i="7"/>
  <c r="I20" i="7"/>
  <c r="I19" i="7"/>
  <c r="I18" i="7"/>
  <c r="I17" i="7"/>
  <c r="I16" i="7"/>
  <c r="I15" i="7"/>
  <c r="I69" i="7"/>
  <c r="I14" i="7"/>
  <c r="I13" i="7"/>
  <c r="I12" i="7"/>
  <c r="I11" i="7"/>
  <c r="I10" i="7"/>
  <c r="I9" i="7"/>
  <c r="I8" i="7"/>
  <c r="I7" i="7"/>
</calcChain>
</file>

<file path=xl/sharedStrings.xml><?xml version="1.0" encoding="utf-8"?>
<sst xmlns="http://schemas.openxmlformats.org/spreadsheetml/2006/main" count="843" uniqueCount="305">
  <si>
    <t>Begin Date:</t>
  </si>
  <si>
    <t>End Date:</t>
  </si>
  <si>
    <t>Manager:</t>
  </si>
  <si>
    <t>Project Snapshot</t>
  </si>
  <si>
    <t>Raw Inventory</t>
  </si>
  <si>
    <t>Inventory in Progress</t>
  </si>
  <si>
    <t>Cable Kits:</t>
  </si>
  <si>
    <t>Integration Builds:</t>
  </si>
  <si>
    <t>Finished Products Inventory</t>
  </si>
  <si>
    <t>Completed Builds:</t>
  </si>
  <si>
    <t>% Complete:</t>
  </si>
  <si>
    <t>Project: Staff Kit</t>
  </si>
  <si>
    <t>Cable Builds:</t>
  </si>
  <si>
    <t>Hardware Kits:</t>
  </si>
  <si>
    <t>Component Kits:</t>
  </si>
  <si>
    <t>19016-0006</t>
  </si>
  <si>
    <t>Quick Disconnect, Female</t>
  </si>
  <si>
    <t>F01F-7</t>
  </si>
  <si>
    <t>7113K11</t>
  </si>
  <si>
    <t>22-18 AWG Ring Terminal #6 Screw Size</t>
  </si>
  <si>
    <t>G01C-4</t>
  </si>
  <si>
    <t>7113K13</t>
  </si>
  <si>
    <t>16-14 AWG Ring Terminal 1/4" Screw Size</t>
  </si>
  <si>
    <t>G01C-5</t>
  </si>
  <si>
    <t>7113K38</t>
  </si>
  <si>
    <t>16-14 AWG Ring Terminal #8 Screw Size</t>
  </si>
  <si>
    <t>G01C-2</t>
  </si>
  <si>
    <t>7113K551</t>
  </si>
  <si>
    <t>22-18 AWG Ring Terminal #8 Screw Size</t>
  </si>
  <si>
    <t>G01C-6</t>
  </si>
  <si>
    <t>7113K553</t>
  </si>
  <si>
    <t>22-18 AWG Ring Terminal 5/16" Screw Size</t>
  </si>
  <si>
    <t>G01C-3</t>
  </si>
  <si>
    <t>7113K91</t>
  </si>
  <si>
    <t>16-14 AWG Ring Terminal 5/16" Screw Size</t>
  </si>
  <si>
    <t>G01C-1</t>
  </si>
  <si>
    <t>84735K12</t>
  </si>
  <si>
    <t>Push-on Round High Temperature Cap, Fits 1/8"-3/16"</t>
  </si>
  <si>
    <t>F01F-3</t>
  </si>
  <si>
    <t>84735K13</t>
  </si>
  <si>
    <t>Dock Carriage Bolt Caps, 3/16"-1/4" OD</t>
  </si>
  <si>
    <t>F01F-4</t>
  </si>
  <si>
    <t>90295A090</t>
  </si>
  <si>
    <t>Nylon 6/6 General Purpose Flat Washer #6 Screw Size</t>
  </si>
  <si>
    <t>F01F-6</t>
  </si>
  <si>
    <t>90762A112</t>
  </si>
  <si>
    <t>300 Series Stainless Steel Hex Nut 1/4"-20 Thread Size</t>
  </si>
  <si>
    <t>F01C-3</t>
  </si>
  <si>
    <t>91240A005</t>
  </si>
  <si>
    <t>Machine Screw Hex Nut, 4-40 Thread Size</t>
  </si>
  <si>
    <t>F01C-6</t>
  </si>
  <si>
    <t>91240A007</t>
  </si>
  <si>
    <t>Machine Screw Hex Nut 6-32 Thread Sie</t>
  </si>
  <si>
    <t>F01C-2</t>
  </si>
  <si>
    <t>91240A009</t>
  </si>
  <si>
    <t>Machine Screw Hex Nut 8-32 Thread Size</t>
  </si>
  <si>
    <t>F01C-4</t>
  </si>
  <si>
    <t>91400A146</t>
  </si>
  <si>
    <t>Pan Head Philips Machine Screw 6-32 Thread, 3/8"</t>
  </si>
  <si>
    <t>F01E-3</t>
  </si>
  <si>
    <t>91400A152</t>
  </si>
  <si>
    <t>Pan Head Philips Machine Screw 6-32 Thread, 7/8"</t>
  </si>
  <si>
    <t>F01E-1</t>
  </si>
  <si>
    <t>91475A018</t>
  </si>
  <si>
    <t>Split Lock Washer #4 Screw Size</t>
  </si>
  <si>
    <t>F01D-5</t>
  </si>
  <si>
    <t>91475A020</t>
  </si>
  <si>
    <t>Split Lock Washer #6 Screw Size</t>
  </si>
  <si>
    <t>F01D-2</t>
  </si>
  <si>
    <t>91475A029</t>
  </si>
  <si>
    <t>Split Lock Washer 1/4" Screw Size</t>
  </si>
  <si>
    <t>F01D-3</t>
  </si>
  <si>
    <t>91735A145</t>
  </si>
  <si>
    <t>316 SS Pan Head Philips Screw, 6-32 Thread, 5/16" Relay Screws</t>
  </si>
  <si>
    <t>Diodes</t>
  </si>
  <si>
    <t>92000A218</t>
  </si>
  <si>
    <t>Pan Head Philips Machine Screw, M4 Size, 8MM Length</t>
  </si>
  <si>
    <t>F01E-2</t>
  </si>
  <si>
    <t>92319A666</t>
  </si>
  <si>
    <t>Nylon 6/6 Female Threaded Hex Standoff, 1/4" Hex, 1" Length</t>
  </si>
  <si>
    <t>G01E-5</t>
  </si>
  <si>
    <t>92319A736</t>
  </si>
  <si>
    <t>Female Threaded Hex Standoff, 8-32 5/16 x 2", TB</t>
  </si>
  <si>
    <t>G01E-4</t>
  </si>
  <si>
    <t>93180A230</t>
  </si>
  <si>
    <t>Round Head Square Neck Bolt Type 316, 1/4"-20, 1-1/2" Long</t>
  </si>
  <si>
    <t>F01C-1</t>
  </si>
  <si>
    <t>94701A223</t>
  </si>
  <si>
    <t>Slotted PanHead Screw, #6-32 x 3/8", Diode Cover</t>
  </si>
  <si>
    <t>F01F-1</t>
  </si>
  <si>
    <t>94701A314</t>
  </si>
  <si>
    <t>Slotted Panhead Screw, #8-32 x 3/8", TB Cover</t>
  </si>
  <si>
    <t>F01F-2</t>
  </si>
  <si>
    <t>95584A209</t>
  </si>
  <si>
    <t>5/16" Star Washer, TB (2016)</t>
  </si>
  <si>
    <t>F01E-5</t>
  </si>
  <si>
    <t>95647A117</t>
  </si>
  <si>
    <t>Wear-Resistant Delrin Acetal Flat Washer #8 Screw Size</t>
  </si>
  <si>
    <t>F01F-5</t>
  </si>
  <si>
    <t>97775A150</t>
  </si>
  <si>
    <t>#6 Star Washer, Relay, GND (Case Bottom)</t>
  </si>
  <si>
    <t>F01E-4</t>
  </si>
  <si>
    <t>97775A220</t>
  </si>
  <si>
    <t>#8 Star Washer, Relay, Diode, GND (Case Bottom)</t>
  </si>
  <si>
    <t>F01E-6</t>
  </si>
  <si>
    <t>97775A260</t>
  </si>
  <si>
    <t>#10 Star Washer, GND (Top Case)</t>
  </si>
  <si>
    <t>98019A310</t>
  </si>
  <si>
    <t>300 Series Flat Washer #4 Size</t>
  </si>
  <si>
    <t>F01D-7</t>
  </si>
  <si>
    <t>98019A314</t>
  </si>
  <si>
    <t>300 Series Flat Washer #6 Size</t>
  </si>
  <si>
    <t>F01D-6</t>
  </si>
  <si>
    <t>98019A325</t>
  </si>
  <si>
    <t>300 Series Flat Washer #8 Size</t>
  </si>
  <si>
    <t>F01D-1</t>
  </si>
  <si>
    <t>98019A355</t>
  </si>
  <si>
    <t>300 Series Flat Washer 1/4" Size</t>
  </si>
  <si>
    <t>F01D-4</t>
  </si>
  <si>
    <t>OMAR-2761</t>
  </si>
  <si>
    <t>Rubber Grommet, 1/2" x 3/16"x 13/16" x 11/16" x 7/16"</t>
  </si>
  <si>
    <t>G01E-6</t>
  </si>
  <si>
    <t>BTA-70781A</t>
  </si>
  <si>
    <t>BB-2590, Isolated Pass Thru Assy</t>
  </si>
  <si>
    <t>E03D</t>
  </si>
  <si>
    <t>BTC-70663</t>
  </si>
  <si>
    <t>Charger Controller, Li ION</t>
  </si>
  <si>
    <t>E02B</t>
  </si>
  <si>
    <t>CBLIP-F00051</t>
  </si>
  <si>
    <t>Bare Wire Input</t>
  </si>
  <si>
    <t>G01A-1</t>
  </si>
  <si>
    <t>CBLOPF00691</t>
  </si>
  <si>
    <t>CF-19 Power Cable</t>
  </si>
  <si>
    <t>G01A-2</t>
  </si>
  <si>
    <t>CONN-BA5590-M</t>
  </si>
  <si>
    <t>Battery Connector, Male</t>
  </si>
  <si>
    <t>G02E</t>
  </si>
  <si>
    <t>D38999/32W15N</t>
  </si>
  <si>
    <t>Power Connector Caps</t>
  </si>
  <si>
    <t>D38999/33W15N</t>
  </si>
  <si>
    <t>Power Receptacle Cap</t>
  </si>
  <si>
    <t>G03D</t>
  </si>
  <si>
    <t>HLG-150H-24A</t>
  </si>
  <si>
    <t>AC/DC from Meanwell</t>
  </si>
  <si>
    <t>Inc. QC</t>
  </si>
  <si>
    <t>M85049/38S15W</t>
  </si>
  <si>
    <t>Power in Strain Relief</t>
  </si>
  <si>
    <t>G03E</t>
  </si>
  <si>
    <t>M85049/79-15W04</t>
  </si>
  <si>
    <t>Power Back Right Angle</t>
  </si>
  <si>
    <t>G03B</t>
  </si>
  <si>
    <t>P7C16-06</t>
  </si>
  <si>
    <t>6" 16 AWG Power Cable</t>
  </si>
  <si>
    <t>G02A-G03A</t>
  </si>
  <si>
    <t>TV07RW15-5P</t>
  </si>
  <si>
    <t>Power in Receptacle</t>
  </si>
  <si>
    <t>G03F</t>
  </si>
  <si>
    <t>TV06RW15-5S</t>
  </si>
  <si>
    <t>Power In Connector</t>
  </si>
  <si>
    <t>G03C</t>
  </si>
  <si>
    <t>WPCVR-USB-1394</t>
  </si>
  <si>
    <t>USB Dust Cap</t>
  </si>
  <si>
    <t>G02D</t>
  </si>
  <si>
    <t>WPUSBAX-1M</t>
  </si>
  <si>
    <t>USB Water-proof Cable Bulkhead</t>
  </si>
  <si>
    <t>G02C</t>
  </si>
  <si>
    <t>12003A0502</t>
  </si>
  <si>
    <t>Battery Charger Top Bracket</t>
  </si>
  <si>
    <t>F01B</t>
  </si>
  <si>
    <t>12003A0503</t>
  </si>
  <si>
    <t>Battery Base Bracket</t>
  </si>
  <si>
    <t>F02B-2</t>
  </si>
  <si>
    <t>12003A0504</t>
  </si>
  <si>
    <t>Battery Top Bracket</t>
  </si>
  <si>
    <t>F02C</t>
  </si>
  <si>
    <t>12003A0507</t>
  </si>
  <si>
    <t>Docking Station Gasket</t>
  </si>
  <si>
    <t>F02E</t>
  </si>
  <si>
    <t>12003A0508</t>
  </si>
  <si>
    <t>Docking Station Connector Gasket</t>
  </si>
  <si>
    <t>F02F</t>
  </si>
  <si>
    <t>12003A0512</t>
  </si>
  <si>
    <t>Lind Adapter Top Bracket</t>
  </si>
  <si>
    <t>F02B-1</t>
  </si>
  <si>
    <t>12003A0514</t>
  </si>
  <si>
    <t>Docking Station Spacer</t>
  </si>
  <si>
    <t>F01A</t>
  </si>
  <si>
    <t>12003A0517</t>
  </si>
  <si>
    <t>Terminal Block Cover</t>
  </si>
  <si>
    <t>F03E</t>
  </si>
  <si>
    <t>12003A0522</t>
  </si>
  <si>
    <t>Diode Cover</t>
  </si>
  <si>
    <t>F03D-1</t>
  </si>
  <si>
    <t>2016B</t>
  </si>
  <si>
    <t>Dual Pole Bus Bar (Terminal Block)</t>
  </si>
  <si>
    <t>F03D</t>
  </si>
  <si>
    <t>7160-0264-00</t>
  </si>
  <si>
    <t>Panasonic Ruggedized Docking Station</t>
  </si>
  <si>
    <t>D01B-D03D</t>
  </si>
  <si>
    <t>ANM-CAP01</t>
  </si>
  <si>
    <t>N-Type Dust Cap</t>
  </si>
  <si>
    <t>APT2X61D120J-ND</t>
  </si>
  <si>
    <t>AT-PEL-18135</t>
  </si>
  <si>
    <t>Staff Kit Cases</t>
  </si>
  <si>
    <t>B01A-C03D</t>
  </si>
  <si>
    <t>AXA-NFNFB</t>
  </si>
  <si>
    <t>N-Type Female Bulkhead</t>
  </si>
  <si>
    <t>BT-70791A</t>
  </si>
  <si>
    <t>Battery Lithium Ion</t>
  </si>
  <si>
    <t>E03B</t>
  </si>
  <si>
    <t>DC60SA7-B</t>
  </si>
  <si>
    <t>Crydom Relay</t>
  </si>
  <si>
    <t>F03E-2</t>
  </si>
  <si>
    <t>KCA2ANA1BBB</t>
  </si>
  <si>
    <t>Rocker Switch</t>
  </si>
  <si>
    <t>F03F</t>
  </si>
  <si>
    <t>KS100</t>
  </si>
  <si>
    <t>Crydom Relay Cover</t>
  </si>
  <si>
    <t>F03C</t>
  </si>
  <si>
    <t>LND-PA1650-1253</t>
  </si>
  <si>
    <t>Lind Adapter</t>
  </si>
  <si>
    <t>F02A</t>
  </si>
  <si>
    <t>Builds Required:</t>
  </si>
  <si>
    <t>Reports</t>
  </si>
  <si>
    <t>Date</t>
  </si>
  <si>
    <t>Part Number</t>
  </si>
  <si>
    <t>Quantity</t>
  </si>
  <si>
    <t>Notes</t>
  </si>
  <si>
    <t>Lorem ipsum dolor sit amet, consectetur adipiscing elit. Donec aliquet luctus mi at tristique. Nulla a turpis pharetra, dictum nisl eu, venenatis dui. Proin ac ultricies magna. Donec eget bibendum felis. Donec viverra neque ante, vehicula malesuada augue ultricies a. Phasellus tincidunt dui at turpis tempus rhoncus.</t>
  </si>
  <si>
    <t>Quality Control</t>
  </si>
  <si>
    <t>Master Inventory</t>
  </si>
  <si>
    <t>Description</t>
  </si>
  <si>
    <t>Qty_QC</t>
  </si>
  <si>
    <t>Part_Num</t>
  </si>
  <si>
    <t>Kit_Name</t>
  </si>
  <si>
    <t>Qty_Shelf</t>
  </si>
  <si>
    <t>Qty_Floor</t>
  </si>
  <si>
    <t>Qty_Shipped</t>
  </si>
  <si>
    <t>Qty_Required</t>
  </si>
  <si>
    <t>Qty_Kitted</t>
  </si>
  <si>
    <t>Cable</t>
  </si>
  <si>
    <t>DIODES</t>
  </si>
  <si>
    <t>INT. FLOOR</t>
  </si>
  <si>
    <t>Qty_Warehouse</t>
  </si>
  <si>
    <t>Shelf_Location</t>
  </si>
  <si>
    <t>Hardware</t>
  </si>
  <si>
    <t>Component</t>
  </si>
  <si>
    <t>Integration_HARD</t>
  </si>
  <si>
    <t>Integration_COMP</t>
  </si>
  <si>
    <t>Notification_Level</t>
  </si>
  <si>
    <t>Name</t>
  </si>
  <si>
    <t>Kaleo Kim</t>
  </si>
  <si>
    <t>Aaron Kamiya</t>
  </si>
  <si>
    <t>Notifications:</t>
  </si>
  <si>
    <t>B002</t>
  </si>
  <si>
    <t>Serial1</t>
  </si>
  <si>
    <t>Serial2</t>
  </si>
  <si>
    <t>Serial3</t>
  </si>
  <si>
    <t>Serial4</t>
  </si>
  <si>
    <t>Build</t>
  </si>
  <si>
    <t>Serial5</t>
  </si>
  <si>
    <t>B003</t>
  </si>
  <si>
    <t>B004</t>
  </si>
  <si>
    <t>B005</t>
  </si>
  <si>
    <t>B006</t>
  </si>
  <si>
    <t>B007</t>
  </si>
  <si>
    <t>B008</t>
  </si>
  <si>
    <t>B009</t>
  </si>
  <si>
    <t>B010</t>
  </si>
  <si>
    <t>B011</t>
  </si>
  <si>
    <t>Yes</t>
  </si>
  <si>
    <t>Quality Control:</t>
  </si>
  <si>
    <t>Deliveries</t>
  </si>
  <si>
    <t>Shipped</t>
  </si>
  <si>
    <t>Completed Builds</t>
  </si>
  <si>
    <t>Report Data</t>
  </si>
  <si>
    <t>Action</t>
  </si>
  <si>
    <t>Kit_Created</t>
  </si>
  <si>
    <t>Type</t>
  </si>
  <si>
    <t>Time</t>
  </si>
  <si>
    <t>None</t>
  </si>
  <si>
    <t>Cleared by Kaleo</t>
  </si>
  <si>
    <t>Quality verification performed on 4/11/2014</t>
  </si>
  <si>
    <t>Minor flaws on external case</t>
  </si>
  <si>
    <t>Part of order 2104958</t>
  </si>
  <si>
    <t>Shipped with order 2104958</t>
  </si>
  <si>
    <t>Build_Issued</t>
  </si>
  <si>
    <t>Integration</t>
  </si>
  <si>
    <t>B012</t>
  </si>
  <si>
    <t>Completed as per instructions from Georgia office</t>
  </si>
  <si>
    <t>(All)</t>
  </si>
  <si>
    <t>Row Labels</t>
  </si>
  <si>
    <t>Grand Total</t>
  </si>
  <si>
    <t>Column Labels</t>
  </si>
  <si>
    <t>Sum of Quantity</t>
  </si>
  <si>
    <t>Cracked component heads.</t>
  </si>
  <si>
    <t>B0193857</t>
  </si>
  <si>
    <t>65468-BI309</t>
  </si>
  <si>
    <t>I_938958</t>
  </si>
  <si>
    <t>Build verified by Aaron.</t>
  </si>
  <si>
    <t>B01904</t>
  </si>
  <si>
    <t>B12094</t>
  </si>
  <si>
    <t>B14878</t>
  </si>
  <si>
    <t>B12095</t>
  </si>
  <si>
    <t>B14879</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</si>
</sst>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i/>
      <sz val="11"/>
      <color rgb="FF7F7F7F"/>
      <name val="Calibri"/>
      <family val="2"/>
      <scheme val="minor"/>
    </font>
    <font>
      <b/>
      <sz val="11"/>
      <color theme="1"/>
      <name val="Calibri"/>
      <family val="2"/>
      <scheme val="minor"/>
    </font>
    <font>
      <sz val="11"/>
      <name val="Calibri"/>
      <family val="2"/>
      <scheme val="minor"/>
    </font>
    <font>
      <sz val="11"/>
      <color rgb="FF000000"/>
      <name val="Calibri"/>
      <family val="2"/>
    </font>
    <font>
      <sz val="11"/>
      <color rgb="FFFF0000"/>
      <name val="Calibri"/>
      <family val="2"/>
      <scheme val="minor"/>
    </font>
  </fonts>
  <fills count="2">
    <fill>
      <patternFill patternType="none"/>
    </fill>
    <fill>
      <patternFill patternType="gray125"/>
    </fill>
  </fills>
  <borders count="6">
    <border>
      <left/>
      <right/>
      <top/>
      <bottom/>
      <diagonal/>
    </border>
    <border>
      <left/>
      <right/>
      <top/>
      <bottom style="thick">
        <color theme="4"/>
      </bottom>
      <diagonal/>
    </border>
    <border>
      <left/>
      <right/>
      <top/>
      <bottom style="thick">
        <color theme="4" tint="0.499984740745262"/>
      </bottom>
      <diagonal/>
    </border>
    <border>
      <left/>
      <right/>
      <top/>
      <bottom style="thick">
        <color theme="3"/>
      </bottom>
      <diagonal/>
    </border>
    <border>
      <left/>
      <right/>
      <top style="thick">
        <color theme="4" tint="0.499984740745262"/>
      </top>
      <bottom/>
      <diagonal/>
    </border>
    <border>
      <left/>
      <right/>
      <top style="thick">
        <color theme="4"/>
      </top>
      <bottom style="thick">
        <color theme="4" tint="0.499984740745262"/>
      </bottom>
      <diagonal/>
    </border>
  </borders>
  <cellStyleXfs count="5">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cellStyleXfs>
  <cellXfs count="35">
    <xf numFmtId="0" fontId="0" fillId="0" borderId="0" xfId="0"/>
    <xf numFmtId="0" fontId="4" fillId="0" borderId="0" xfId="4"/>
    <xf numFmtId="14" fontId="0" fillId="0" borderId="0" xfId="0" applyNumberFormat="1"/>
    <xf numFmtId="0" fontId="5" fillId="0" borderId="4" xfId="0" applyFont="1" applyBorder="1" applyAlignment="1"/>
    <xf numFmtId="0" fontId="5" fillId="0" borderId="0" xfId="0" applyFont="1" applyAlignment="1"/>
    <xf numFmtId="0" fontId="5" fillId="0" borderId="0" xfId="0" applyFont="1" applyBorder="1" applyAlignment="1"/>
    <xf numFmtId="0" fontId="0" fillId="0" borderId="0" xfId="0" applyBorder="1"/>
    <xf numFmtId="0" fontId="0" fillId="0" borderId="4" xfId="0" applyFont="1" applyBorder="1" applyAlignment="1"/>
    <xf numFmtId="0" fontId="0" fillId="0" borderId="0" xfId="0" applyFont="1" applyAlignment="1"/>
    <xf numFmtId="9" fontId="0" fillId="0" borderId="0" xfId="0" applyNumberFormat="1" applyFont="1" applyAlignment="1"/>
    <xf numFmtId="0" fontId="6" fillId="0" borderId="0" xfId="0" applyFont="1" applyBorder="1" applyAlignment="1">
      <alignment horizontal="right"/>
    </xf>
    <xf numFmtId="0" fontId="0" fillId="0" borderId="0" xfId="0" applyFont="1" applyFill="1" applyBorder="1" applyAlignment="1"/>
    <xf numFmtId="0" fontId="0" fillId="0" borderId="0" xfId="0"/>
    <xf numFmtId="0" fontId="3" fillId="0" borderId="2" xfId="3"/>
    <xf numFmtId="14" fontId="0" fillId="0" borderId="0" xfId="0" applyNumberFormat="1" applyAlignment="1">
      <alignment vertical="top"/>
    </xf>
    <xf numFmtId="0" fontId="5" fillId="0" borderId="0" xfId="0" applyFont="1" applyAlignment="1">
      <alignment vertical="top"/>
    </xf>
    <xf numFmtId="0" fontId="0" fillId="0" borderId="0" xfId="0" applyAlignment="1">
      <alignment vertical="top"/>
    </xf>
    <xf numFmtId="0" fontId="0" fillId="0" borderId="0" xfId="0" applyAlignment="1">
      <alignment vertical="top" wrapText="1"/>
    </xf>
    <xf numFmtId="0" fontId="3" fillId="0" borderId="2" xfId="3" applyFill="1"/>
    <xf numFmtId="0" fontId="5" fillId="0" borderId="0" xfId="0" applyFont="1"/>
    <xf numFmtId="0" fontId="8" fillId="0" borderId="4" xfId="0" applyFont="1" applyBorder="1" applyAlignment="1">
      <alignment horizontal="right"/>
    </xf>
    <xf numFmtId="0" fontId="3" fillId="0" borderId="2" xfId="3" applyAlignment="1">
      <alignment wrapText="1"/>
    </xf>
    <xf numFmtId="0" fontId="0" fillId="0" borderId="0" xfId="0" applyAlignment="1">
      <alignment wrapText="1"/>
    </xf>
    <xf numFmtId="0" fontId="2" fillId="0" borderId="1" xfId="2" applyAlignment="1">
      <alignment horizontal="left"/>
    </xf>
    <xf numFmtId="0" fontId="3" fillId="0" borderId="5" xfId="3" applyBorder="1" applyAlignment="1">
      <alignment horizontal="left"/>
    </xf>
    <xf numFmtId="0" fontId="3" fillId="0" borderId="2" xfId="3" applyAlignment="1">
      <alignment horizontal="left"/>
    </xf>
    <xf numFmtId="0" fontId="1" fillId="0" borderId="3" xfId="1" applyBorder="1" applyAlignment="1">
      <alignment horizontal="left"/>
    </xf>
    <xf numFmtId="0" fontId="1" fillId="0" borderId="0" xfId="1" applyAlignment="1">
      <alignment horizontal="center" vertical="center"/>
    </xf>
    <xf numFmtId="0" fontId="0" fillId="0" borderId="0" xfId="0" applyAlignment="1">
      <alignment horizontal="center"/>
    </xf>
    <xf numFmtId="0" fontId="1" fillId="0" borderId="0" xfId="1" applyAlignment="1">
      <alignment horizontal="center"/>
    </xf>
    <xf numFmtId="19" fontId="0" fillId="0" borderId="0" xfId="0" applyNumberFormat="1"/>
    <xf numFmtId="49"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5">
    <cellStyle name="Explanatory Text" xfId="4" builtinId="53"/>
    <cellStyle name="Heading 1" xfId="2" builtinId="16"/>
    <cellStyle name="Heading 2" xfId="3" builtinId="17"/>
    <cellStyle name="Normal" xfId="0" builtinId="0"/>
    <cellStyle name="Title" xfId="1"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4</xdr:row>
          <xdr:rowOff>69850</xdr:rowOff>
        </xdr:from>
        <xdr:to>
          <xdr:col>0</xdr:col>
          <xdr:colOff>1555750</xdr:colOff>
          <xdr:row>6</xdr:row>
          <xdr:rowOff>88900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Record Delivery/QC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1670050</xdr:colOff>
          <xdr:row>4</xdr:row>
          <xdr:rowOff>76200</xdr:rowOff>
        </xdr:from>
        <xdr:to>
          <xdr:col>2</xdr:col>
          <xdr:colOff>304800</xdr:colOff>
          <xdr:row>6</xdr:row>
          <xdr:rowOff>88900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Manage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412750</xdr:colOff>
          <xdr:row>4</xdr:row>
          <xdr:rowOff>76200</xdr:rowOff>
        </xdr:from>
        <xdr:to>
          <xdr:col>4</xdr:col>
          <xdr:colOff>495300</xdr:colOff>
          <xdr:row>6</xdr:row>
          <xdr:rowOff>88900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View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xdr:row>
          <xdr:rowOff>127000</xdr:rowOff>
        </xdr:from>
        <xdr:to>
          <xdr:col>0</xdr:col>
          <xdr:colOff>1562100</xdr:colOff>
          <xdr:row>3</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Configure Project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69850</xdr:rowOff>
        </xdr:from>
        <xdr:to>
          <xdr:col>2</xdr:col>
          <xdr:colOff>844550</xdr:colOff>
          <xdr:row>2</xdr:row>
          <xdr:rowOff>114300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Record Kit Creation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0</xdr:row>
          <xdr:rowOff>69850</xdr:rowOff>
        </xdr:from>
        <xdr:to>
          <xdr:col>2</xdr:col>
          <xdr:colOff>3048000</xdr:colOff>
          <xdr:row>2</xdr:row>
          <xdr:rowOff>114300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Issue Cable Kit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3136900</xdr:colOff>
          <xdr:row>0</xdr:row>
          <xdr:rowOff>69850</xdr:rowOff>
        </xdr:from>
        <xdr:to>
          <xdr:col>3</xdr:col>
          <xdr:colOff>1085850</xdr:colOff>
          <xdr:row>2</xdr:row>
          <xdr:rowOff>114300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Issue Integration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0</xdr:row>
          <xdr:rowOff>69850</xdr:rowOff>
        </xdr:from>
        <xdr:to>
          <xdr:col>6</xdr:col>
          <xdr:colOff>711200</xdr:colOff>
          <xdr:row>2</xdr:row>
          <xdr:rowOff>114300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Process Staff Kit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774700</xdr:colOff>
          <xdr:row>0</xdr:row>
          <xdr:rowOff>69850</xdr:rowOff>
        </xdr:from>
        <xdr:to>
          <xdr:col>8</xdr:col>
          <xdr:colOff>1123950</xdr:colOff>
          <xdr:row>2</xdr:row>
          <xdr:rowOff>114300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Record Shipment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1206500</xdr:colOff>
          <xdr:row>0</xdr:row>
          <xdr:rowOff>69850</xdr:rowOff>
        </xdr:from>
        <xdr:to>
          <xdr:col>10</xdr:col>
          <xdr:colOff>895350</xdr:colOff>
          <xdr:row>2</xdr:row>
          <xdr:rowOff>114300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rPr>
                <a:t>View Inventory Report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oy Matsunaga" refreshedDate="41743.946951620368" createdVersion="4" refreshedVersion="4" minRefreshableVersion="3" recordCount="70">
  <cacheSource type="worksheet">
    <worksheetSource ref="A2:E72" sheet="Report_Data"/>
  </cacheSource>
  <cacheFields count="5">
    <cacheField name="Date" numFmtId="14">
      <sharedItems containsSemiMixedTypes="0" containsNonDate="0" containsDate="1" containsString="0" minDate="2014-04-08T00:00:00" maxDate="2014-04-15T00:00:00" count="5">
        <d v="2014-04-08T00:00:00"/>
        <d v="2014-04-09T00:00:00"/>
        <d v="2014-04-10T00:00:00"/>
        <d v="2014-04-11T00:00:00"/>
        <d v="2014-04-14T00:00:00"/>
      </sharedItems>
    </cacheField>
    <cacheField name="Time" numFmtId="19">
      <sharedItems containsSemiMixedTypes="0" containsNonDate="0" containsDate="1" containsString="0" minDate="1899-12-30T08:00:00" maxDate="1899-12-30T22:35:43" count="12">
        <d v="1899-12-30T08:00:00"/>
        <d v="1899-12-30T09:00:00"/>
        <d v="1899-12-30T10:00:00"/>
        <d v="1899-12-30T11:00:00"/>
        <d v="1899-12-30T12:00:00"/>
        <d v="1899-12-30T13:00:00"/>
        <d v="1899-12-30T14:00:00"/>
        <d v="1899-12-30T08:30:00"/>
        <d v="1899-12-30T09:30:00"/>
        <d v="1899-12-30T15:00:00"/>
        <d v="1899-12-30T22:35:43"/>
        <d v="1899-12-30T22:27:57"/>
      </sharedItems>
    </cacheField>
    <cacheField name="Action" numFmtId="0">
      <sharedItems count="2">
        <s v="Build_Issued"/>
        <s v="Kit_Created"/>
      </sharedItems>
    </cacheField>
    <cacheField name="Type" numFmtId="0">
      <sharedItems count="4">
        <s v="Integration"/>
        <s v="Cable"/>
        <s v="Component"/>
        <s v="Hardware"/>
      </sharedItems>
    </cacheField>
    <cacheField name="Quantity" numFmtId="0">
      <sharedItems containsSemiMixedTypes="0" containsString="0" containsNumber="1" containsInteger="1" minValue="1" maxValue="5" count="3">
        <n v="1"/>
        <n v="2"/>
        <n v="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0">
  <r>
    <x v="0"/>
    <x v="0"/>
    <x v="0"/>
    <x v="0"/>
    <x v="0"/>
  </r>
  <r>
    <x v="0"/>
    <x v="1"/>
    <x v="0"/>
    <x v="0"/>
    <x v="0"/>
  </r>
  <r>
    <x v="0"/>
    <x v="2"/>
    <x v="0"/>
    <x v="0"/>
    <x v="0"/>
  </r>
  <r>
    <x v="0"/>
    <x v="3"/>
    <x v="0"/>
    <x v="0"/>
    <x v="0"/>
  </r>
  <r>
    <x v="0"/>
    <x v="4"/>
    <x v="0"/>
    <x v="0"/>
    <x v="0"/>
  </r>
  <r>
    <x v="0"/>
    <x v="5"/>
    <x v="0"/>
    <x v="0"/>
    <x v="0"/>
  </r>
  <r>
    <x v="0"/>
    <x v="6"/>
    <x v="0"/>
    <x v="0"/>
    <x v="0"/>
  </r>
  <r>
    <x v="0"/>
    <x v="6"/>
    <x v="0"/>
    <x v="0"/>
    <x v="0"/>
  </r>
  <r>
    <x v="0"/>
    <x v="6"/>
    <x v="0"/>
    <x v="0"/>
    <x v="0"/>
  </r>
  <r>
    <x v="0"/>
    <x v="6"/>
    <x v="0"/>
    <x v="0"/>
    <x v="0"/>
  </r>
  <r>
    <x v="0"/>
    <x v="6"/>
    <x v="0"/>
    <x v="0"/>
    <x v="0"/>
  </r>
  <r>
    <x v="1"/>
    <x v="0"/>
    <x v="1"/>
    <x v="1"/>
    <x v="0"/>
  </r>
  <r>
    <x v="1"/>
    <x v="7"/>
    <x v="0"/>
    <x v="0"/>
    <x v="0"/>
  </r>
  <r>
    <x v="1"/>
    <x v="8"/>
    <x v="1"/>
    <x v="2"/>
    <x v="0"/>
  </r>
  <r>
    <x v="1"/>
    <x v="8"/>
    <x v="1"/>
    <x v="2"/>
    <x v="0"/>
  </r>
  <r>
    <x v="1"/>
    <x v="8"/>
    <x v="1"/>
    <x v="2"/>
    <x v="0"/>
  </r>
  <r>
    <x v="1"/>
    <x v="8"/>
    <x v="1"/>
    <x v="2"/>
    <x v="0"/>
  </r>
  <r>
    <x v="1"/>
    <x v="3"/>
    <x v="0"/>
    <x v="1"/>
    <x v="0"/>
  </r>
  <r>
    <x v="1"/>
    <x v="3"/>
    <x v="0"/>
    <x v="1"/>
    <x v="0"/>
  </r>
  <r>
    <x v="1"/>
    <x v="3"/>
    <x v="0"/>
    <x v="1"/>
    <x v="0"/>
  </r>
  <r>
    <x v="1"/>
    <x v="4"/>
    <x v="1"/>
    <x v="3"/>
    <x v="1"/>
  </r>
  <r>
    <x v="1"/>
    <x v="4"/>
    <x v="1"/>
    <x v="3"/>
    <x v="1"/>
  </r>
  <r>
    <x v="1"/>
    <x v="9"/>
    <x v="1"/>
    <x v="1"/>
    <x v="0"/>
  </r>
  <r>
    <x v="1"/>
    <x v="9"/>
    <x v="1"/>
    <x v="1"/>
    <x v="0"/>
  </r>
  <r>
    <x v="1"/>
    <x v="9"/>
    <x v="1"/>
    <x v="1"/>
    <x v="0"/>
  </r>
  <r>
    <x v="2"/>
    <x v="0"/>
    <x v="1"/>
    <x v="1"/>
    <x v="0"/>
  </r>
  <r>
    <x v="2"/>
    <x v="0"/>
    <x v="0"/>
    <x v="0"/>
    <x v="0"/>
  </r>
  <r>
    <x v="2"/>
    <x v="7"/>
    <x v="1"/>
    <x v="2"/>
    <x v="0"/>
  </r>
  <r>
    <x v="2"/>
    <x v="8"/>
    <x v="1"/>
    <x v="2"/>
    <x v="0"/>
  </r>
  <r>
    <x v="2"/>
    <x v="8"/>
    <x v="1"/>
    <x v="2"/>
    <x v="0"/>
  </r>
  <r>
    <x v="2"/>
    <x v="8"/>
    <x v="1"/>
    <x v="2"/>
    <x v="0"/>
  </r>
  <r>
    <x v="2"/>
    <x v="8"/>
    <x v="0"/>
    <x v="1"/>
    <x v="0"/>
  </r>
  <r>
    <x v="2"/>
    <x v="3"/>
    <x v="0"/>
    <x v="1"/>
    <x v="0"/>
  </r>
  <r>
    <x v="2"/>
    <x v="3"/>
    <x v="0"/>
    <x v="1"/>
    <x v="0"/>
  </r>
  <r>
    <x v="2"/>
    <x v="3"/>
    <x v="1"/>
    <x v="3"/>
    <x v="1"/>
  </r>
  <r>
    <x v="2"/>
    <x v="4"/>
    <x v="1"/>
    <x v="3"/>
    <x v="1"/>
  </r>
  <r>
    <x v="2"/>
    <x v="4"/>
    <x v="1"/>
    <x v="1"/>
    <x v="0"/>
  </r>
  <r>
    <x v="2"/>
    <x v="9"/>
    <x v="1"/>
    <x v="1"/>
    <x v="0"/>
  </r>
  <r>
    <x v="2"/>
    <x v="9"/>
    <x v="1"/>
    <x v="1"/>
    <x v="0"/>
  </r>
  <r>
    <x v="3"/>
    <x v="0"/>
    <x v="1"/>
    <x v="1"/>
    <x v="0"/>
  </r>
  <r>
    <x v="3"/>
    <x v="0"/>
    <x v="0"/>
    <x v="0"/>
    <x v="0"/>
  </r>
  <r>
    <x v="3"/>
    <x v="7"/>
    <x v="1"/>
    <x v="2"/>
    <x v="0"/>
  </r>
  <r>
    <x v="3"/>
    <x v="8"/>
    <x v="1"/>
    <x v="2"/>
    <x v="0"/>
  </r>
  <r>
    <x v="3"/>
    <x v="8"/>
    <x v="1"/>
    <x v="2"/>
    <x v="0"/>
  </r>
  <r>
    <x v="3"/>
    <x v="8"/>
    <x v="1"/>
    <x v="2"/>
    <x v="0"/>
  </r>
  <r>
    <x v="3"/>
    <x v="8"/>
    <x v="0"/>
    <x v="1"/>
    <x v="0"/>
  </r>
  <r>
    <x v="3"/>
    <x v="3"/>
    <x v="0"/>
    <x v="1"/>
    <x v="0"/>
  </r>
  <r>
    <x v="3"/>
    <x v="3"/>
    <x v="0"/>
    <x v="1"/>
    <x v="0"/>
  </r>
  <r>
    <x v="3"/>
    <x v="3"/>
    <x v="1"/>
    <x v="3"/>
    <x v="1"/>
  </r>
  <r>
    <x v="3"/>
    <x v="4"/>
    <x v="1"/>
    <x v="3"/>
    <x v="1"/>
  </r>
  <r>
    <x v="3"/>
    <x v="4"/>
    <x v="1"/>
    <x v="1"/>
    <x v="0"/>
  </r>
  <r>
    <x v="3"/>
    <x v="9"/>
    <x v="1"/>
    <x v="1"/>
    <x v="0"/>
  </r>
  <r>
    <x v="3"/>
    <x v="9"/>
    <x v="1"/>
    <x v="1"/>
    <x v="0"/>
  </r>
  <r>
    <x v="4"/>
    <x v="0"/>
    <x v="1"/>
    <x v="1"/>
    <x v="0"/>
  </r>
  <r>
    <x v="4"/>
    <x v="0"/>
    <x v="0"/>
    <x v="0"/>
    <x v="0"/>
  </r>
  <r>
    <x v="4"/>
    <x v="7"/>
    <x v="1"/>
    <x v="2"/>
    <x v="0"/>
  </r>
  <r>
    <x v="4"/>
    <x v="8"/>
    <x v="1"/>
    <x v="2"/>
    <x v="0"/>
  </r>
  <r>
    <x v="4"/>
    <x v="8"/>
    <x v="1"/>
    <x v="2"/>
    <x v="0"/>
  </r>
  <r>
    <x v="4"/>
    <x v="8"/>
    <x v="1"/>
    <x v="2"/>
    <x v="0"/>
  </r>
  <r>
    <x v="4"/>
    <x v="8"/>
    <x v="0"/>
    <x v="1"/>
    <x v="0"/>
  </r>
  <r>
    <x v="4"/>
    <x v="3"/>
    <x v="0"/>
    <x v="1"/>
    <x v="0"/>
  </r>
  <r>
    <x v="4"/>
    <x v="3"/>
    <x v="0"/>
    <x v="1"/>
    <x v="0"/>
  </r>
  <r>
    <x v="4"/>
    <x v="3"/>
    <x v="1"/>
    <x v="3"/>
    <x v="1"/>
  </r>
  <r>
    <x v="4"/>
    <x v="4"/>
    <x v="1"/>
    <x v="3"/>
    <x v="1"/>
  </r>
  <r>
    <x v="4"/>
    <x v="4"/>
    <x v="1"/>
    <x v="1"/>
    <x v="0"/>
  </r>
  <r>
    <x v="4"/>
    <x v="9"/>
    <x v="1"/>
    <x v="1"/>
    <x v="0"/>
  </r>
  <r>
    <x v="4"/>
    <x v="9"/>
    <x v="1"/>
    <x v="1"/>
    <x v="0"/>
  </r>
  <r>
    <x v="4"/>
    <x v="10"/>
    <x v="1"/>
    <x v="0"/>
    <x v="1"/>
  </r>
  <r>
    <x v="4"/>
    <x v="10"/>
    <x v="1"/>
    <x v="0"/>
    <x v="1"/>
  </r>
  <r>
    <x v="4"/>
    <x v="11"/>
    <x v="1"/>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5:F9" firstHeaderRow="1" firstDataRow="2" firstDataCol="1" rowPageCount="2" colPageCount="1"/>
  <pivotFields count="5">
    <pivotField axis="axisPage" numFmtId="14" showAll="0">
      <items count="6">
        <item x="0"/>
        <item x="1"/>
        <item x="2"/>
        <item x="3"/>
        <item x="4"/>
        <item t="default"/>
      </items>
    </pivotField>
    <pivotField axis="axisPage" numFmtId="19" showAll="0">
      <items count="13">
        <item x="0"/>
        <item x="7"/>
        <item x="1"/>
        <item x="8"/>
        <item x="2"/>
        <item x="3"/>
        <item x="4"/>
        <item x="5"/>
        <item x="6"/>
        <item x="9"/>
        <item x="11"/>
        <item x="10"/>
        <item t="default"/>
      </items>
    </pivotField>
    <pivotField axis="axisRow" showAll="0" sortType="descending">
      <items count="3">
        <item x="1"/>
        <item x="0"/>
        <item t="default"/>
      </items>
    </pivotField>
    <pivotField axis="axisCol" showAll="0">
      <items count="5">
        <item x="1"/>
        <item x="2"/>
        <item x="3"/>
        <item x="0"/>
        <item t="default"/>
      </items>
    </pivotField>
    <pivotField dataField="1" showAll="0">
      <items count="4">
        <item x="0"/>
        <item x="1"/>
        <item x="2"/>
        <item t="default"/>
      </items>
    </pivotField>
  </pivotFields>
  <rowFields count="1">
    <field x="2"/>
  </rowFields>
  <rowItems count="3">
    <i>
      <x/>
    </i>
    <i>
      <x v="1"/>
    </i>
    <i t="grand">
      <x/>
    </i>
  </rowItems>
  <colFields count="1">
    <field x="3"/>
  </colFields>
  <colItems count="5">
    <i>
      <x/>
    </i>
    <i>
      <x v="1"/>
    </i>
    <i>
      <x v="2"/>
    </i>
    <i>
      <x v="3"/>
    </i>
    <i t="grand">
      <x/>
    </i>
  </colItems>
  <pageFields count="2">
    <pageField fld="0" hier="-1"/>
    <pageField fld="1" hier="-1"/>
  </pageField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trol"/>
  <dimension ref="A1:E20"/>
  <sheetViews>
    <sheetView workbookViewId="0">
      <selection sqref="A1:E1"/>
    </sheetView>
  </sheetViews>
  <sheetFormatPr defaultRowHeight="14.5" x14ac:dyDescent="0.35"/>
  <cols>
    <col min="1" max="1" width="28.54296875" customWidth="1"/>
    <col min="2" max="2" width="12.26953125" bestFit="1" customWidth="1"/>
    <col min="3" max="5" width="9.453125" bestFit="1" customWidth="1"/>
  </cols>
  <sheetData>
    <row r="1" spans="1:5" ht="23.25" thickBot="1" x14ac:dyDescent="0.35">
      <c r="A1" s="26" t="s">
        <v>11</v>
      </c>
      <c r="B1" s="26"/>
      <c r="C1" s="26"/>
      <c r="D1" s="26"/>
      <c r="E1" s="26"/>
    </row>
    <row r="2" spans="1:5" ht="15.75" thickTop="1" x14ac:dyDescent="0.25">
      <c r="B2" s="1" t="s">
        <v>0</v>
      </c>
      <c r="C2" s="2">
        <v>41641</v>
      </c>
      <c r="D2" s="1" t="s">
        <v>1</v>
      </c>
      <c r="E2" s="2">
        <v>41747</v>
      </c>
    </row>
    <row r="3" spans="1:5" ht="15" x14ac:dyDescent="0.25">
      <c r="B3" s="1" t="s">
        <v>2</v>
      </c>
      <c r="C3" t="s">
        <v>251</v>
      </c>
    </row>
    <row r="4" spans="1:5" x14ac:dyDescent="0.35">
      <c r="B4" s="1" t="s">
        <v>253</v>
      </c>
      <c r="C4" t="s">
        <v>270</v>
      </c>
    </row>
    <row r="8" spans="1:5" ht="20.25" thickBot="1" x14ac:dyDescent="0.35">
      <c r="A8" s="23" t="s">
        <v>3</v>
      </c>
      <c r="B8" s="23"/>
    </row>
    <row r="9" spans="1:5" ht="18.75" thickTop="1" thickBot="1" x14ac:dyDescent="0.35">
      <c r="A9" s="24" t="s">
        <v>4</v>
      </c>
      <c r="B9" s="24"/>
      <c r="C9" s="6"/>
    </row>
    <row r="10" spans="1:5" ht="15" thickTop="1" x14ac:dyDescent="0.35">
      <c r="A10" s="3" t="s">
        <v>271</v>
      </c>
      <c r="B10" s="20">
        <v>20</v>
      </c>
      <c r="C10" s="5"/>
    </row>
    <row r="11" spans="1:5" ht="15" x14ac:dyDescent="0.25">
      <c r="A11" s="5" t="s">
        <v>6</v>
      </c>
      <c r="B11" s="10">
        <v>7</v>
      </c>
      <c r="C11" s="5"/>
    </row>
    <row r="12" spans="1:5" ht="15" x14ac:dyDescent="0.25">
      <c r="A12" s="5" t="s">
        <v>13</v>
      </c>
      <c r="B12" s="10">
        <v>7</v>
      </c>
      <c r="C12" s="5"/>
    </row>
    <row r="13" spans="1:5" ht="15" x14ac:dyDescent="0.25">
      <c r="A13" s="5" t="s">
        <v>14</v>
      </c>
      <c r="B13" s="10">
        <v>4</v>
      </c>
      <c r="C13" s="5"/>
    </row>
    <row r="14" spans="1:5" ht="18" thickBot="1" x14ac:dyDescent="0.35">
      <c r="A14" s="25" t="s">
        <v>5</v>
      </c>
      <c r="B14" s="25"/>
      <c r="C14" s="6"/>
    </row>
    <row r="15" spans="1:5" ht="15.75" thickTop="1" x14ac:dyDescent="0.25">
      <c r="A15" s="3" t="s">
        <v>12</v>
      </c>
      <c r="B15" s="7">
        <v>5</v>
      </c>
      <c r="C15" s="5"/>
    </row>
    <row r="16" spans="1:5" ht="15" x14ac:dyDescent="0.25">
      <c r="A16" s="4" t="s">
        <v>7</v>
      </c>
      <c r="B16" s="8">
        <v>28</v>
      </c>
      <c r="C16" s="4"/>
    </row>
    <row r="17" spans="1:3" ht="18" thickBot="1" x14ac:dyDescent="0.35">
      <c r="A17" s="25" t="s">
        <v>8</v>
      </c>
      <c r="B17" s="25"/>
      <c r="C17" s="6"/>
    </row>
    <row r="18" spans="1:3" ht="15.75" thickTop="1" x14ac:dyDescent="0.25">
      <c r="A18" s="3" t="s">
        <v>9</v>
      </c>
      <c r="B18" s="7">
        <v>10</v>
      </c>
      <c r="C18" s="5"/>
    </row>
    <row r="19" spans="1:3" s="12" customFormat="1" ht="15" x14ac:dyDescent="0.25">
      <c r="A19" s="5" t="s">
        <v>222</v>
      </c>
      <c r="B19" s="11">
        <v>20</v>
      </c>
      <c r="C19" s="5"/>
    </row>
    <row r="20" spans="1:3" x14ac:dyDescent="0.35">
      <c r="A20" s="4" t="s">
        <v>10</v>
      </c>
      <c r="B20" s="9">
        <f>B18/B19</f>
        <v>0.5</v>
      </c>
      <c r="C20" s="4"/>
    </row>
  </sheetData>
  <mergeCells count="5">
    <mergeCell ref="A8:B8"/>
    <mergeCell ref="A9:B9"/>
    <mergeCell ref="A14:B14"/>
    <mergeCell ref="A17:B17"/>
    <mergeCell ref="A1:E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DeliveryClick">
                <anchor moveWithCells="1" sizeWithCells="1">
                  <from>
                    <xdr:col>0</xdr:col>
                    <xdr:colOff>146050</xdr:colOff>
                    <xdr:row>4</xdr:row>
                    <xdr:rowOff>69850</xdr:rowOff>
                  </from>
                  <to>
                    <xdr:col>0</xdr:col>
                    <xdr:colOff>1555750</xdr:colOff>
                    <xdr:row>6</xdr:row>
                    <xdr:rowOff>88900</xdr:rowOff>
                  </to>
                </anchor>
              </controlPr>
            </control>
          </mc:Choice>
        </mc:AlternateContent>
        <mc:AlternateContent xmlns:mc="http://schemas.openxmlformats.org/markup-compatibility/2006">
          <mc:Choice Requires="x14">
            <control shapeId="1026" r:id="rId5" name="Button 2">
              <controlPr defaultSize="0" print="0" autoFill="0" autoPict="0" macro="[0]!btnManageInventoryClick">
                <anchor moveWithCells="1" sizeWithCells="1">
                  <from>
                    <xdr:col>0</xdr:col>
                    <xdr:colOff>1670050</xdr:colOff>
                    <xdr:row>4</xdr:row>
                    <xdr:rowOff>76200</xdr:rowOff>
                  </from>
                  <to>
                    <xdr:col>2</xdr:col>
                    <xdr:colOff>304800</xdr:colOff>
                    <xdr:row>6</xdr:row>
                    <xdr:rowOff>88900</xdr:rowOff>
                  </to>
                </anchor>
              </controlPr>
            </control>
          </mc:Choice>
        </mc:AlternateContent>
        <mc:AlternateContent xmlns:mc="http://schemas.openxmlformats.org/markup-compatibility/2006">
          <mc:Choice Requires="x14">
            <control shapeId="1027" r:id="rId6" name="Button 3">
              <controlPr defaultSize="0" print="0" autoFill="0" autoPict="0" macro="[0]!btnViewReportsClick">
                <anchor moveWithCells="1" sizeWithCells="1">
                  <from>
                    <xdr:col>2</xdr:col>
                    <xdr:colOff>412750</xdr:colOff>
                    <xdr:row>4</xdr:row>
                    <xdr:rowOff>76200</xdr:rowOff>
                  </from>
                  <to>
                    <xdr:col>4</xdr:col>
                    <xdr:colOff>495300</xdr:colOff>
                    <xdr:row>6</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btnConfigureProjectClick">
                <anchor moveWithCells="1" sizeWithCells="1">
                  <from>
                    <xdr:col>0</xdr:col>
                    <xdr:colOff>152400</xdr:colOff>
                    <xdr:row>1</xdr:row>
                    <xdr:rowOff>127000</xdr:rowOff>
                  </from>
                  <to>
                    <xdr:col>0</xdr:col>
                    <xdr:colOff>1562100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livery"/>
  <dimension ref="A1:C5"/>
  <sheetViews>
    <sheetView workbookViewId="0">
      <selection activeCell="B23" sqref="B23"/>
    </sheetView>
  </sheetViews>
  <sheetFormatPr defaultRowHeight="14.5" x14ac:dyDescent="0.35"/>
  <cols>
    <col min="1" max="1" width="9.453125" bestFit="1" customWidth="1"/>
    <col min="2" max="2" width="17" bestFit="1" customWidth="1"/>
    <col min="3" max="3" width="9.6328125" bestFit="1" customWidth="1"/>
  </cols>
  <sheetData>
    <row r="1" spans="1:3" ht="22.5" x14ac:dyDescent="0.35">
      <c r="A1" s="27" t="s">
        <v>272</v>
      </c>
      <c r="B1" s="27"/>
      <c r="C1" s="27"/>
    </row>
    <row r="2" spans="1:3" ht="17.5" thickBot="1" x14ac:dyDescent="0.45">
      <c r="A2" s="13" t="s">
        <v>224</v>
      </c>
      <c r="B2" s="13" t="s">
        <v>225</v>
      </c>
      <c r="C2" s="13" t="s">
        <v>226</v>
      </c>
    </row>
    <row r="3" spans="1:3" ht="15" thickTop="1" x14ac:dyDescent="0.35">
      <c r="A3" s="14">
        <v>41731</v>
      </c>
      <c r="B3" s="15" t="s">
        <v>148</v>
      </c>
      <c r="C3" s="16">
        <v>10</v>
      </c>
    </row>
    <row r="4" spans="1:3" x14ac:dyDescent="0.35">
      <c r="A4" s="2">
        <v>41738</v>
      </c>
      <c r="B4" s="19" t="s">
        <v>15</v>
      </c>
      <c r="C4">
        <v>10</v>
      </c>
    </row>
    <row r="5" spans="1:3" x14ac:dyDescent="0.35">
      <c r="A5" s="2">
        <v>41743</v>
      </c>
      <c r="B5" s="19" t="s">
        <v>15</v>
      </c>
      <c r="C5">
        <v>10</v>
      </c>
    </row>
  </sheetData>
  <mergeCells count="1">
    <mergeCell ref="A1:C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qc"/>
  <dimension ref="A1:D4"/>
  <sheetViews>
    <sheetView workbookViewId="0">
      <pane ySplit="2" topLeftCell="A3" activePane="bottomLeft" state="frozen"/>
      <selection pane="bottomLeft" activeCell="A3" sqref="A3"/>
    </sheetView>
  </sheetViews>
  <sheetFormatPr defaultRowHeight="14.5" x14ac:dyDescent="0.35"/>
  <cols>
    <col min="1" max="1" width="10.26953125" customWidth="1"/>
    <col min="2" max="2" width="17.7265625" bestFit="1" customWidth="1"/>
    <col min="3" max="3" width="10.1796875" bestFit="1" customWidth="1"/>
    <col min="4" max="4" width="71.26953125" customWidth="1"/>
  </cols>
  <sheetData>
    <row r="1" spans="1:4" s="12" customFormat="1" ht="46.5" customHeight="1" x14ac:dyDescent="0.35">
      <c r="A1" s="27" t="s">
        <v>229</v>
      </c>
      <c r="B1" s="27"/>
      <c r="C1" s="27"/>
      <c r="D1" s="27"/>
    </row>
    <row r="2" spans="1:4" ht="17.5" thickBot="1" x14ac:dyDescent="0.45">
      <c r="A2" s="13" t="s">
        <v>224</v>
      </c>
      <c r="B2" s="13" t="s">
        <v>225</v>
      </c>
      <c r="C2" s="13" t="s">
        <v>226</v>
      </c>
      <c r="D2" s="13" t="s">
        <v>227</v>
      </c>
    </row>
    <row r="3" spans="1:4" ht="58.5" thickTop="1" x14ac:dyDescent="0.35">
      <c r="A3" s="14">
        <v>41731</v>
      </c>
      <c r="B3" s="15" t="s">
        <v>148</v>
      </c>
      <c r="C3" s="16">
        <v>2</v>
      </c>
      <c r="D3" s="17" t="s">
        <v>228</v>
      </c>
    </row>
    <row r="4" spans="1:4" x14ac:dyDescent="0.35">
      <c r="A4" s="2">
        <v>41743</v>
      </c>
      <c r="B4" s="19" t="s">
        <v>15</v>
      </c>
      <c r="C4">
        <v>2</v>
      </c>
      <c r="D4" t="s">
        <v>295</v>
      </c>
    </row>
  </sheetData>
  <mergeCells count="1">
    <mergeCell ref="A1:D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ventory"/>
  <dimension ref="A1:L76"/>
  <sheetViews>
    <sheetView zoomScale="70" zoomScaleNormal="70" workbookViewId="0">
      <pane ySplit="5" topLeftCell="A6" activePane="bottomLeft" state="frozen"/>
      <selection pane="bottomLeft" sqref="A1:L3"/>
    </sheetView>
  </sheetViews>
  <sheetFormatPr defaultRowHeight="14.5" x14ac:dyDescent="0.35"/>
  <cols>
    <col min="1" max="1" width="17.54296875" bestFit="1" customWidth="1"/>
    <col min="2" max="2" width="17.453125" bestFit="1" customWidth="1"/>
    <col min="3" max="3" width="57.7265625" bestFit="1" customWidth="1"/>
    <col min="4" max="4" width="16" bestFit="1" customWidth="1"/>
    <col min="6" max="6" width="11.1796875" bestFit="1" customWidth="1"/>
    <col min="7" max="7" width="12.26953125" bestFit="1" customWidth="1"/>
    <col min="8" max="8" width="11.26953125" bestFit="1" customWidth="1"/>
    <col min="9" max="9" width="18" bestFit="1" customWidth="1"/>
    <col min="10" max="10" width="15.54296875" bestFit="1" customWidth="1"/>
    <col min="11" max="11" width="14.453125" bestFit="1" customWidth="1"/>
    <col min="12" max="12" width="19.7265625" bestFit="1" customWidth="1"/>
  </cols>
  <sheetData>
    <row r="1" spans="1:12" s="12" customFormat="1" x14ac:dyDescent="0.35">
      <c r="A1" s="28"/>
      <c r="B1" s="28"/>
      <c r="C1" s="28"/>
      <c r="D1" s="28"/>
      <c r="E1" s="28"/>
      <c r="F1" s="28"/>
      <c r="G1" s="28"/>
      <c r="H1" s="28"/>
      <c r="I1" s="28"/>
      <c r="J1" s="28"/>
      <c r="K1" s="28"/>
      <c r="L1" s="28"/>
    </row>
    <row r="2" spans="1:12" s="12" customFormat="1" x14ac:dyDescent="0.35">
      <c r="A2" s="28"/>
      <c r="B2" s="28"/>
      <c r="C2" s="28"/>
      <c r="D2" s="28"/>
      <c r="E2" s="28"/>
      <c r="F2" s="28"/>
      <c r="G2" s="28"/>
      <c r="H2" s="28"/>
      <c r="I2" s="28"/>
      <c r="J2" s="28"/>
      <c r="K2" s="28"/>
      <c r="L2" s="28"/>
    </row>
    <row r="3" spans="1:12" s="12" customFormat="1" x14ac:dyDescent="0.35">
      <c r="A3" s="28"/>
      <c r="B3" s="28"/>
      <c r="C3" s="28"/>
      <c r="D3" s="28"/>
      <c r="E3" s="28"/>
      <c r="F3" s="28"/>
      <c r="G3" s="28"/>
      <c r="H3" s="28"/>
      <c r="I3" s="28"/>
      <c r="J3" s="28"/>
      <c r="K3" s="28"/>
      <c r="L3" s="28"/>
    </row>
    <row r="4" spans="1:12" ht="22.5" x14ac:dyDescent="0.3">
      <c r="A4" s="29" t="s">
        <v>230</v>
      </c>
      <c r="B4" s="29"/>
      <c r="C4" s="29"/>
      <c r="D4" s="29"/>
      <c r="E4" s="29"/>
      <c r="F4" s="29"/>
      <c r="G4" s="29"/>
      <c r="H4" s="29"/>
      <c r="I4" s="29"/>
      <c r="J4" s="29"/>
      <c r="K4" s="29"/>
      <c r="L4" s="29"/>
    </row>
    <row r="5" spans="1:12" ht="18" thickBot="1" x14ac:dyDescent="0.35">
      <c r="A5" s="13" t="s">
        <v>234</v>
      </c>
      <c r="B5" s="13" t="s">
        <v>233</v>
      </c>
      <c r="C5" s="13" t="s">
        <v>231</v>
      </c>
      <c r="D5" s="13" t="s">
        <v>244</v>
      </c>
      <c r="E5" s="13" t="s">
        <v>232</v>
      </c>
      <c r="F5" s="13" t="s">
        <v>235</v>
      </c>
      <c r="G5" s="13" t="s">
        <v>239</v>
      </c>
      <c r="H5" s="13" t="s">
        <v>236</v>
      </c>
      <c r="I5" s="13" t="s">
        <v>243</v>
      </c>
      <c r="J5" s="13" t="s">
        <v>238</v>
      </c>
      <c r="K5" s="13" t="s">
        <v>237</v>
      </c>
      <c r="L5" s="18" t="s">
        <v>249</v>
      </c>
    </row>
    <row r="6" spans="1:12" ht="15.75" thickTop="1" x14ac:dyDescent="0.25">
      <c r="A6" t="s">
        <v>245</v>
      </c>
      <c r="B6" t="s">
        <v>15</v>
      </c>
      <c r="C6" t="s">
        <v>16</v>
      </c>
      <c r="D6" t="s">
        <v>17</v>
      </c>
      <c r="E6">
        <v>148</v>
      </c>
      <c r="F6">
        <v>68</v>
      </c>
      <c r="G6">
        <v>14</v>
      </c>
      <c r="H6">
        <v>56</v>
      </c>
      <c r="I6">
        <f t="shared" ref="I6:I38" si="0">SUM(F6:H6)</f>
        <v>138</v>
      </c>
      <c r="J6">
        <v>2</v>
      </c>
      <c r="K6">
        <v>128</v>
      </c>
      <c r="L6">
        <f>'Control Center'!$B$19*'Master Inventory'!J6</f>
        <v>40</v>
      </c>
    </row>
    <row r="7" spans="1:12" ht="15" x14ac:dyDescent="0.25">
      <c r="A7" s="12" t="s">
        <v>245</v>
      </c>
      <c r="B7" t="s">
        <v>18</v>
      </c>
      <c r="C7" t="s">
        <v>19</v>
      </c>
      <c r="D7" t="s">
        <v>20</v>
      </c>
      <c r="E7">
        <v>459</v>
      </c>
      <c r="F7">
        <v>179</v>
      </c>
      <c r="G7">
        <v>56</v>
      </c>
      <c r="H7">
        <v>224</v>
      </c>
      <c r="I7" s="12">
        <f t="shared" si="0"/>
        <v>459</v>
      </c>
      <c r="J7">
        <v>8</v>
      </c>
      <c r="K7">
        <v>512</v>
      </c>
      <c r="L7" s="12">
        <f>'Control Center'!$B$19*'Master Inventory'!J7</f>
        <v>160</v>
      </c>
    </row>
    <row r="8" spans="1:12" ht="15" x14ac:dyDescent="0.25">
      <c r="A8" s="12" t="s">
        <v>245</v>
      </c>
      <c r="B8" t="s">
        <v>21</v>
      </c>
      <c r="C8" t="s">
        <v>22</v>
      </c>
      <c r="D8" t="s">
        <v>23</v>
      </c>
      <c r="E8">
        <v>153</v>
      </c>
      <c r="F8">
        <v>73</v>
      </c>
      <c r="G8">
        <v>14</v>
      </c>
      <c r="H8">
        <v>56</v>
      </c>
      <c r="I8" s="12">
        <f t="shared" si="0"/>
        <v>143</v>
      </c>
      <c r="J8">
        <v>2</v>
      </c>
      <c r="K8">
        <v>128</v>
      </c>
      <c r="L8" s="12">
        <f>'Control Center'!$B$19*'Master Inventory'!J8</f>
        <v>40</v>
      </c>
    </row>
    <row r="9" spans="1:12" ht="15" x14ac:dyDescent="0.25">
      <c r="A9" s="12" t="s">
        <v>245</v>
      </c>
      <c r="B9" t="s">
        <v>24</v>
      </c>
      <c r="C9" t="s">
        <v>25</v>
      </c>
      <c r="D9" t="s">
        <v>26</v>
      </c>
      <c r="E9">
        <v>67</v>
      </c>
      <c r="F9">
        <v>22</v>
      </c>
      <c r="G9">
        <v>7</v>
      </c>
      <c r="H9">
        <v>28</v>
      </c>
      <c r="I9" s="12">
        <f t="shared" si="0"/>
        <v>57</v>
      </c>
      <c r="J9">
        <v>1</v>
      </c>
      <c r="K9">
        <v>64</v>
      </c>
      <c r="L9" s="12">
        <f>'Control Center'!$B$19*'Master Inventory'!J9</f>
        <v>20</v>
      </c>
    </row>
    <row r="10" spans="1:12" ht="15" x14ac:dyDescent="0.25">
      <c r="A10" s="12" t="s">
        <v>245</v>
      </c>
      <c r="B10" t="s">
        <v>27</v>
      </c>
      <c r="C10" t="s">
        <v>28</v>
      </c>
      <c r="D10" t="s">
        <v>29</v>
      </c>
      <c r="E10">
        <v>559</v>
      </c>
      <c r="F10">
        <v>279</v>
      </c>
      <c r="G10">
        <v>56</v>
      </c>
      <c r="H10">
        <v>224</v>
      </c>
      <c r="I10" s="12">
        <f t="shared" si="0"/>
        <v>559</v>
      </c>
      <c r="J10">
        <v>8</v>
      </c>
      <c r="K10">
        <v>512</v>
      </c>
      <c r="L10" s="12">
        <f>'Control Center'!$B$19*'Master Inventory'!J10</f>
        <v>160</v>
      </c>
    </row>
    <row r="11" spans="1:12" ht="15" x14ac:dyDescent="0.25">
      <c r="A11" s="12" t="s">
        <v>245</v>
      </c>
      <c r="B11" t="s">
        <v>30</v>
      </c>
      <c r="C11" t="s">
        <v>31</v>
      </c>
      <c r="D11" t="s">
        <v>32</v>
      </c>
      <c r="E11">
        <v>524</v>
      </c>
      <c r="F11">
        <v>244</v>
      </c>
      <c r="G11">
        <v>56</v>
      </c>
      <c r="H11">
        <v>224</v>
      </c>
      <c r="I11" s="12">
        <f t="shared" si="0"/>
        <v>524</v>
      </c>
      <c r="J11">
        <v>8</v>
      </c>
      <c r="K11">
        <v>512</v>
      </c>
      <c r="L11" s="12">
        <f>'Control Center'!$B$19*'Master Inventory'!J11</f>
        <v>160</v>
      </c>
    </row>
    <row r="12" spans="1:12" ht="15" x14ac:dyDescent="0.25">
      <c r="A12" s="12" t="s">
        <v>245</v>
      </c>
      <c r="B12" t="s">
        <v>33</v>
      </c>
      <c r="C12" t="s">
        <v>34</v>
      </c>
      <c r="D12" t="s">
        <v>35</v>
      </c>
      <c r="E12">
        <v>77</v>
      </c>
      <c r="F12">
        <v>42</v>
      </c>
      <c r="G12">
        <v>7</v>
      </c>
      <c r="H12">
        <v>28</v>
      </c>
      <c r="I12" s="12">
        <f t="shared" si="0"/>
        <v>77</v>
      </c>
      <c r="J12">
        <v>1</v>
      </c>
      <c r="K12">
        <v>64</v>
      </c>
      <c r="L12" s="12">
        <f>'Control Center'!$B$19*'Master Inventory'!J12</f>
        <v>20</v>
      </c>
    </row>
    <row r="13" spans="1:12" ht="15" x14ac:dyDescent="0.25">
      <c r="A13" s="12" t="s">
        <v>245</v>
      </c>
      <c r="B13" t="s">
        <v>36</v>
      </c>
      <c r="C13" t="s">
        <v>37</v>
      </c>
      <c r="D13" t="s">
        <v>38</v>
      </c>
      <c r="E13">
        <v>259</v>
      </c>
      <c r="F13">
        <v>151</v>
      </c>
      <c r="G13">
        <v>100</v>
      </c>
      <c r="H13">
        <v>8</v>
      </c>
      <c r="I13" s="12">
        <f t="shared" si="0"/>
        <v>259</v>
      </c>
      <c r="J13">
        <v>4</v>
      </c>
      <c r="K13">
        <v>256</v>
      </c>
      <c r="L13" s="12">
        <f>'Control Center'!$B$19*'Master Inventory'!J13</f>
        <v>80</v>
      </c>
    </row>
    <row r="14" spans="1:12" ht="15" x14ac:dyDescent="0.25">
      <c r="A14" s="12" t="s">
        <v>245</v>
      </c>
      <c r="B14" t="s">
        <v>39</v>
      </c>
      <c r="C14" t="s">
        <v>40</v>
      </c>
      <c r="D14" t="s">
        <v>41</v>
      </c>
      <c r="E14">
        <v>373</v>
      </c>
      <c r="F14">
        <v>265</v>
      </c>
      <c r="G14">
        <v>100</v>
      </c>
      <c r="H14">
        <v>8</v>
      </c>
      <c r="I14" s="12">
        <f t="shared" si="0"/>
        <v>373</v>
      </c>
      <c r="J14">
        <v>4</v>
      </c>
      <c r="K14">
        <v>256</v>
      </c>
      <c r="L14" s="12">
        <f>'Control Center'!$B$19*'Master Inventory'!J14</f>
        <v>80</v>
      </c>
    </row>
    <row r="15" spans="1:12" ht="15" x14ac:dyDescent="0.25">
      <c r="A15" s="12" t="s">
        <v>245</v>
      </c>
      <c r="B15" t="s">
        <v>45</v>
      </c>
      <c r="C15" t="s">
        <v>46</v>
      </c>
      <c r="D15" t="s">
        <v>47</v>
      </c>
      <c r="E15">
        <v>188</v>
      </c>
      <c r="F15">
        <v>80</v>
      </c>
      <c r="G15">
        <v>100</v>
      </c>
      <c r="H15">
        <v>8</v>
      </c>
      <c r="I15" s="12">
        <f t="shared" si="0"/>
        <v>188</v>
      </c>
      <c r="J15">
        <v>4</v>
      </c>
      <c r="K15">
        <v>256</v>
      </c>
      <c r="L15" s="12">
        <f>'Control Center'!$B$19*'Master Inventory'!J15</f>
        <v>80</v>
      </c>
    </row>
    <row r="16" spans="1:12" ht="15" x14ac:dyDescent="0.25">
      <c r="A16" s="12" t="s">
        <v>245</v>
      </c>
      <c r="B16" t="s">
        <v>48</v>
      </c>
      <c r="C16" t="s">
        <v>49</v>
      </c>
      <c r="D16" t="s">
        <v>50</v>
      </c>
      <c r="E16">
        <v>94</v>
      </c>
      <c r="F16">
        <v>40</v>
      </c>
      <c r="G16">
        <v>50</v>
      </c>
      <c r="H16">
        <v>4</v>
      </c>
      <c r="I16" s="12">
        <f t="shared" si="0"/>
        <v>94</v>
      </c>
      <c r="J16">
        <v>2</v>
      </c>
      <c r="K16">
        <v>128</v>
      </c>
      <c r="L16" s="12">
        <f>'Control Center'!$B$19*'Master Inventory'!J16</f>
        <v>40</v>
      </c>
    </row>
    <row r="17" spans="1:12" ht="15" x14ac:dyDescent="0.25">
      <c r="A17" s="12" t="s">
        <v>245</v>
      </c>
      <c r="B17" t="s">
        <v>51</v>
      </c>
      <c r="C17" t="s">
        <v>52</v>
      </c>
      <c r="D17" t="s">
        <v>53</v>
      </c>
      <c r="E17">
        <v>556</v>
      </c>
      <c r="F17">
        <v>394</v>
      </c>
      <c r="G17">
        <v>150</v>
      </c>
      <c r="H17">
        <v>12</v>
      </c>
      <c r="I17" s="12">
        <f t="shared" si="0"/>
        <v>556</v>
      </c>
      <c r="J17">
        <v>6</v>
      </c>
      <c r="K17">
        <v>384</v>
      </c>
      <c r="L17" s="12">
        <f>'Control Center'!$B$19*'Master Inventory'!J17</f>
        <v>120</v>
      </c>
    </row>
    <row r="18" spans="1:12" x14ac:dyDescent="0.35">
      <c r="A18" s="12" t="s">
        <v>245</v>
      </c>
      <c r="B18" t="s">
        <v>54</v>
      </c>
      <c r="C18" t="s">
        <v>55</v>
      </c>
      <c r="D18" t="s">
        <v>56</v>
      </c>
      <c r="E18">
        <v>658</v>
      </c>
      <c r="F18">
        <v>415</v>
      </c>
      <c r="G18">
        <v>225</v>
      </c>
      <c r="H18">
        <v>18</v>
      </c>
      <c r="I18" s="12">
        <f t="shared" si="0"/>
        <v>658</v>
      </c>
      <c r="J18">
        <v>9</v>
      </c>
      <c r="K18">
        <v>576</v>
      </c>
      <c r="L18" s="12">
        <f>'Control Center'!$B$19*'Master Inventory'!J18</f>
        <v>180</v>
      </c>
    </row>
    <row r="19" spans="1:12" ht="15" x14ac:dyDescent="0.25">
      <c r="A19" s="12" t="s">
        <v>245</v>
      </c>
      <c r="B19" t="s">
        <v>57</v>
      </c>
      <c r="C19" t="s">
        <v>58</v>
      </c>
      <c r="D19" t="s">
        <v>59</v>
      </c>
      <c r="E19">
        <v>67</v>
      </c>
      <c r="F19">
        <v>40</v>
      </c>
      <c r="G19">
        <v>25</v>
      </c>
      <c r="H19">
        <v>2</v>
      </c>
      <c r="I19" s="12">
        <f t="shared" si="0"/>
        <v>67</v>
      </c>
      <c r="J19">
        <v>1</v>
      </c>
      <c r="K19">
        <v>64</v>
      </c>
      <c r="L19" s="12">
        <f>'Control Center'!$B$19*'Master Inventory'!J19</f>
        <v>20</v>
      </c>
    </row>
    <row r="20" spans="1:12" ht="15" x14ac:dyDescent="0.25">
      <c r="A20" s="12" t="s">
        <v>245</v>
      </c>
      <c r="B20" t="s">
        <v>60</v>
      </c>
      <c r="C20" t="s">
        <v>61</v>
      </c>
      <c r="D20" t="s">
        <v>62</v>
      </c>
      <c r="E20">
        <v>136</v>
      </c>
      <c r="F20">
        <v>82</v>
      </c>
      <c r="G20">
        <v>50</v>
      </c>
      <c r="H20">
        <v>4</v>
      </c>
      <c r="I20" s="12">
        <f t="shared" si="0"/>
        <v>136</v>
      </c>
      <c r="J20">
        <v>2</v>
      </c>
      <c r="K20">
        <v>128</v>
      </c>
      <c r="L20" s="12">
        <f>'Control Center'!$B$19*'Master Inventory'!J20</f>
        <v>40</v>
      </c>
    </row>
    <row r="21" spans="1:12" ht="15" x14ac:dyDescent="0.25">
      <c r="A21" s="12" t="s">
        <v>245</v>
      </c>
      <c r="B21" t="s">
        <v>63</v>
      </c>
      <c r="C21" t="s">
        <v>64</v>
      </c>
      <c r="D21" t="s">
        <v>65</v>
      </c>
      <c r="E21">
        <v>173</v>
      </c>
      <c r="F21">
        <v>119</v>
      </c>
      <c r="G21">
        <v>50</v>
      </c>
      <c r="H21">
        <v>4</v>
      </c>
      <c r="I21" s="12">
        <f t="shared" si="0"/>
        <v>173</v>
      </c>
      <c r="J21">
        <v>2</v>
      </c>
      <c r="K21">
        <v>128</v>
      </c>
      <c r="L21" s="12">
        <f>'Control Center'!$B$19*'Master Inventory'!J21</f>
        <v>40</v>
      </c>
    </row>
    <row r="22" spans="1:12" ht="15" x14ac:dyDescent="0.25">
      <c r="A22" s="12" t="s">
        <v>245</v>
      </c>
      <c r="B22" t="s">
        <v>66</v>
      </c>
      <c r="C22" t="s">
        <v>67</v>
      </c>
      <c r="D22" t="s">
        <v>68</v>
      </c>
      <c r="E22">
        <v>455</v>
      </c>
      <c r="F22">
        <v>293</v>
      </c>
      <c r="G22">
        <v>150</v>
      </c>
      <c r="H22">
        <v>12</v>
      </c>
      <c r="I22" s="12">
        <f t="shared" si="0"/>
        <v>455</v>
      </c>
      <c r="J22">
        <v>6</v>
      </c>
      <c r="K22">
        <v>384</v>
      </c>
      <c r="L22" s="12">
        <f>'Control Center'!$B$19*'Master Inventory'!J22</f>
        <v>120</v>
      </c>
    </row>
    <row r="23" spans="1:12" ht="15" x14ac:dyDescent="0.25">
      <c r="A23" s="12" t="s">
        <v>245</v>
      </c>
      <c r="B23" t="s">
        <v>69</v>
      </c>
      <c r="C23" t="s">
        <v>70</v>
      </c>
      <c r="D23" t="s">
        <v>71</v>
      </c>
      <c r="E23">
        <v>225</v>
      </c>
      <c r="F23">
        <v>117</v>
      </c>
      <c r="G23">
        <v>100</v>
      </c>
      <c r="H23">
        <v>8</v>
      </c>
      <c r="I23" s="12">
        <f t="shared" si="0"/>
        <v>225</v>
      </c>
      <c r="J23">
        <v>4</v>
      </c>
      <c r="K23">
        <v>256</v>
      </c>
      <c r="L23" s="12">
        <f>'Control Center'!$B$19*'Master Inventory'!J23</f>
        <v>80</v>
      </c>
    </row>
    <row r="24" spans="1:12" ht="15" x14ac:dyDescent="0.25">
      <c r="A24" s="12" t="s">
        <v>245</v>
      </c>
      <c r="B24" t="s">
        <v>72</v>
      </c>
      <c r="C24" t="s">
        <v>73</v>
      </c>
      <c r="D24" t="s">
        <v>241</v>
      </c>
      <c r="E24">
        <v>200</v>
      </c>
      <c r="F24">
        <v>200</v>
      </c>
      <c r="G24">
        <v>0</v>
      </c>
      <c r="H24">
        <v>0</v>
      </c>
      <c r="I24" s="12">
        <f t="shared" si="0"/>
        <v>200</v>
      </c>
      <c r="J24">
        <v>2</v>
      </c>
      <c r="K24">
        <v>0</v>
      </c>
      <c r="L24" s="12">
        <f>'Control Center'!$B$19*'Master Inventory'!J24</f>
        <v>40</v>
      </c>
    </row>
    <row r="25" spans="1:12" ht="15" x14ac:dyDescent="0.25">
      <c r="A25" s="12" t="s">
        <v>245</v>
      </c>
      <c r="B25" t="s">
        <v>75</v>
      </c>
      <c r="C25" t="s">
        <v>76</v>
      </c>
      <c r="D25" t="s">
        <v>77</v>
      </c>
      <c r="E25">
        <v>268</v>
      </c>
      <c r="F25">
        <v>160</v>
      </c>
      <c r="G25">
        <v>100</v>
      </c>
      <c r="H25">
        <v>8</v>
      </c>
      <c r="I25" s="12">
        <f t="shared" si="0"/>
        <v>268</v>
      </c>
      <c r="J25">
        <v>4</v>
      </c>
      <c r="K25">
        <v>256</v>
      </c>
      <c r="L25" s="12">
        <f>'Control Center'!$B$19*'Master Inventory'!J25</f>
        <v>80</v>
      </c>
    </row>
    <row r="26" spans="1:12" ht="15" x14ac:dyDescent="0.25">
      <c r="A26" s="12" t="s">
        <v>245</v>
      </c>
      <c r="B26" t="s">
        <v>78</v>
      </c>
      <c r="C26" t="s">
        <v>79</v>
      </c>
      <c r="D26" t="s">
        <v>80</v>
      </c>
      <c r="E26">
        <v>90</v>
      </c>
      <c r="F26">
        <v>36</v>
      </c>
      <c r="G26">
        <v>50</v>
      </c>
      <c r="H26">
        <v>4</v>
      </c>
      <c r="I26" s="12">
        <f t="shared" si="0"/>
        <v>90</v>
      </c>
      <c r="J26">
        <v>2</v>
      </c>
      <c r="K26">
        <v>128</v>
      </c>
      <c r="L26" s="12">
        <f>'Control Center'!$B$19*'Master Inventory'!J26</f>
        <v>40</v>
      </c>
    </row>
    <row r="27" spans="1:12" x14ac:dyDescent="0.35">
      <c r="A27" s="12" t="s">
        <v>245</v>
      </c>
      <c r="B27" t="s">
        <v>81</v>
      </c>
      <c r="C27" t="s">
        <v>82</v>
      </c>
      <c r="D27" t="s">
        <v>83</v>
      </c>
      <c r="E27">
        <v>32</v>
      </c>
      <c r="F27">
        <v>0</v>
      </c>
      <c r="G27">
        <v>28</v>
      </c>
      <c r="H27">
        <v>4</v>
      </c>
      <c r="I27" s="12">
        <f t="shared" si="0"/>
        <v>32</v>
      </c>
      <c r="J27">
        <v>2</v>
      </c>
      <c r="K27">
        <v>128</v>
      </c>
      <c r="L27" s="12">
        <f>'Control Center'!$B$19*'Master Inventory'!J27</f>
        <v>40</v>
      </c>
    </row>
    <row r="28" spans="1:12" x14ac:dyDescent="0.35">
      <c r="A28" s="12" t="s">
        <v>245</v>
      </c>
      <c r="B28" t="s">
        <v>84</v>
      </c>
      <c r="C28" t="s">
        <v>85</v>
      </c>
      <c r="D28" t="s">
        <v>86</v>
      </c>
      <c r="E28">
        <v>183</v>
      </c>
      <c r="F28">
        <v>75</v>
      </c>
      <c r="G28">
        <v>100</v>
      </c>
      <c r="H28">
        <v>8</v>
      </c>
      <c r="I28" s="12">
        <f t="shared" si="0"/>
        <v>183</v>
      </c>
      <c r="J28">
        <v>4</v>
      </c>
      <c r="K28">
        <v>256</v>
      </c>
      <c r="L28" s="12">
        <f>'Control Center'!$B$19*'Master Inventory'!J28</f>
        <v>80</v>
      </c>
    </row>
    <row r="29" spans="1:12" x14ac:dyDescent="0.35">
      <c r="A29" s="12" t="s">
        <v>245</v>
      </c>
      <c r="B29" t="s">
        <v>93</v>
      </c>
      <c r="C29" t="s">
        <v>94</v>
      </c>
      <c r="D29" t="s">
        <v>95</v>
      </c>
      <c r="E29">
        <v>585</v>
      </c>
      <c r="F29">
        <v>288</v>
      </c>
      <c r="G29">
        <v>275</v>
      </c>
      <c r="H29">
        <v>22</v>
      </c>
      <c r="I29" s="12">
        <f t="shared" si="0"/>
        <v>585</v>
      </c>
      <c r="J29">
        <v>11</v>
      </c>
      <c r="K29">
        <v>704</v>
      </c>
      <c r="L29" s="12">
        <f>'Control Center'!$B$19*'Master Inventory'!J29</f>
        <v>220</v>
      </c>
    </row>
    <row r="30" spans="1:12" x14ac:dyDescent="0.35">
      <c r="A30" s="12" t="s">
        <v>245</v>
      </c>
      <c r="B30" t="s">
        <v>99</v>
      </c>
      <c r="C30" t="s">
        <v>100</v>
      </c>
      <c r="D30" t="s">
        <v>101</v>
      </c>
      <c r="E30">
        <v>528</v>
      </c>
      <c r="F30">
        <v>258</v>
      </c>
      <c r="G30">
        <v>250</v>
      </c>
      <c r="H30">
        <v>20</v>
      </c>
      <c r="I30" s="12">
        <f t="shared" si="0"/>
        <v>528</v>
      </c>
      <c r="J30">
        <v>10</v>
      </c>
      <c r="K30">
        <v>640</v>
      </c>
      <c r="L30" s="12">
        <f>'Control Center'!$B$19*'Master Inventory'!J30</f>
        <v>200</v>
      </c>
    </row>
    <row r="31" spans="1:12" x14ac:dyDescent="0.35">
      <c r="A31" s="12" t="s">
        <v>245</v>
      </c>
      <c r="B31" t="s">
        <v>102</v>
      </c>
      <c r="C31" t="s">
        <v>103</v>
      </c>
      <c r="D31" t="s">
        <v>104</v>
      </c>
      <c r="E31">
        <v>1031</v>
      </c>
      <c r="F31">
        <v>599</v>
      </c>
      <c r="G31">
        <v>400</v>
      </c>
      <c r="H31">
        <v>32</v>
      </c>
      <c r="I31" s="12">
        <f t="shared" si="0"/>
        <v>1031</v>
      </c>
      <c r="J31">
        <v>16</v>
      </c>
      <c r="K31">
        <v>1030</v>
      </c>
      <c r="L31" s="12">
        <f>'Control Center'!$B$19*'Master Inventory'!J31</f>
        <v>320</v>
      </c>
    </row>
    <row r="32" spans="1:12" x14ac:dyDescent="0.35">
      <c r="A32" s="12" t="s">
        <v>245</v>
      </c>
      <c r="B32" t="s">
        <v>105</v>
      </c>
      <c r="C32" t="s">
        <v>106</v>
      </c>
      <c r="D32" t="s">
        <v>242</v>
      </c>
      <c r="E32">
        <v>63</v>
      </c>
      <c r="F32">
        <v>47</v>
      </c>
      <c r="G32">
        <v>15</v>
      </c>
      <c r="H32">
        <v>1</v>
      </c>
      <c r="I32" s="12">
        <f t="shared" si="0"/>
        <v>63</v>
      </c>
      <c r="J32">
        <v>1</v>
      </c>
      <c r="K32">
        <v>56</v>
      </c>
      <c r="L32" s="12">
        <f>'Control Center'!$B$19*'Master Inventory'!J32</f>
        <v>20</v>
      </c>
    </row>
    <row r="33" spans="1:12" x14ac:dyDescent="0.35">
      <c r="A33" s="12" t="s">
        <v>245</v>
      </c>
      <c r="B33" t="s">
        <v>107</v>
      </c>
      <c r="C33" t="s">
        <v>108</v>
      </c>
      <c r="D33" t="s">
        <v>109</v>
      </c>
      <c r="E33">
        <v>276</v>
      </c>
      <c r="F33">
        <v>222</v>
      </c>
      <c r="G33">
        <v>50</v>
      </c>
      <c r="H33">
        <v>4</v>
      </c>
      <c r="I33" s="12">
        <f t="shared" si="0"/>
        <v>276</v>
      </c>
      <c r="J33">
        <v>2</v>
      </c>
      <c r="K33">
        <v>128</v>
      </c>
      <c r="L33" s="12">
        <f>'Control Center'!$B$19*'Master Inventory'!J33</f>
        <v>40</v>
      </c>
    </row>
    <row r="34" spans="1:12" x14ac:dyDescent="0.35">
      <c r="A34" s="12" t="s">
        <v>245</v>
      </c>
      <c r="B34" t="s">
        <v>110</v>
      </c>
      <c r="C34" t="s">
        <v>111</v>
      </c>
      <c r="D34" t="s">
        <v>112</v>
      </c>
      <c r="E34">
        <v>466</v>
      </c>
      <c r="F34">
        <v>250</v>
      </c>
      <c r="G34">
        <v>200</v>
      </c>
      <c r="H34">
        <v>16</v>
      </c>
      <c r="I34" s="12">
        <f t="shared" si="0"/>
        <v>466</v>
      </c>
      <c r="J34">
        <v>8</v>
      </c>
      <c r="K34">
        <v>512</v>
      </c>
      <c r="L34" s="12">
        <f>'Control Center'!$B$19*'Master Inventory'!J34</f>
        <v>160</v>
      </c>
    </row>
    <row r="35" spans="1:12" x14ac:dyDescent="0.35">
      <c r="A35" s="12" t="s">
        <v>245</v>
      </c>
      <c r="B35" t="s">
        <v>113</v>
      </c>
      <c r="C35" t="s">
        <v>114</v>
      </c>
      <c r="D35" t="s">
        <v>115</v>
      </c>
      <c r="E35">
        <v>909</v>
      </c>
      <c r="F35">
        <v>693</v>
      </c>
      <c r="G35">
        <v>200</v>
      </c>
      <c r="H35">
        <v>16</v>
      </c>
      <c r="I35" s="12">
        <f t="shared" si="0"/>
        <v>909</v>
      </c>
      <c r="J35">
        <v>8</v>
      </c>
      <c r="K35">
        <v>512</v>
      </c>
      <c r="L35" s="12">
        <f>'Control Center'!$B$19*'Master Inventory'!J35</f>
        <v>160</v>
      </c>
    </row>
    <row r="36" spans="1:12" x14ac:dyDescent="0.35">
      <c r="A36" s="12" t="s">
        <v>245</v>
      </c>
      <c r="B36" t="s">
        <v>116</v>
      </c>
      <c r="C36" t="s">
        <v>117</v>
      </c>
      <c r="D36" t="s">
        <v>118</v>
      </c>
      <c r="E36">
        <v>263</v>
      </c>
      <c r="F36">
        <v>155</v>
      </c>
      <c r="G36">
        <v>100</v>
      </c>
      <c r="H36">
        <v>8</v>
      </c>
      <c r="I36" s="12">
        <f t="shared" si="0"/>
        <v>263</v>
      </c>
      <c r="J36">
        <v>4</v>
      </c>
      <c r="K36">
        <v>256</v>
      </c>
      <c r="L36" s="12">
        <f>'Control Center'!$B$19*'Master Inventory'!J36</f>
        <v>80</v>
      </c>
    </row>
    <row r="37" spans="1:12" x14ac:dyDescent="0.35">
      <c r="A37" s="12" t="s">
        <v>245</v>
      </c>
      <c r="B37" t="s">
        <v>119</v>
      </c>
      <c r="C37" t="s">
        <v>120</v>
      </c>
      <c r="D37" t="s">
        <v>121</v>
      </c>
      <c r="E37">
        <v>62</v>
      </c>
      <c r="F37">
        <v>30</v>
      </c>
      <c r="G37">
        <v>28</v>
      </c>
      <c r="H37">
        <v>4</v>
      </c>
      <c r="I37" s="12">
        <f t="shared" si="0"/>
        <v>62</v>
      </c>
      <c r="J37">
        <v>2</v>
      </c>
      <c r="K37">
        <v>128</v>
      </c>
      <c r="L37" s="12">
        <f>'Control Center'!$B$19*'Master Inventory'!J37</f>
        <v>40</v>
      </c>
    </row>
    <row r="38" spans="1:12" x14ac:dyDescent="0.35">
      <c r="A38" t="s">
        <v>240</v>
      </c>
      <c r="B38" t="s">
        <v>122</v>
      </c>
      <c r="C38" t="s">
        <v>123</v>
      </c>
      <c r="D38" t="s">
        <v>124</v>
      </c>
      <c r="E38">
        <v>44</v>
      </c>
      <c r="F38">
        <v>30</v>
      </c>
      <c r="G38">
        <v>8</v>
      </c>
      <c r="H38">
        <v>32</v>
      </c>
      <c r="I38" s="12">
        <f t="shared" si="0"/>
        <v>70</v>
      </c>
      <c r="J38">
        <v>1</v>
      </c>
      <c r="K38">
        <v>64</v>
      </c>
      <c r="L38" s="12">
        <f>'Control Center'!$B$19*'Master Inventory'!J38</f>
        <v>20</v>
      </c>
    </row>
    <row r="39" spans="1:12" x14ac:dyDescent="0.35">
      <c r="A39" s="12" t="s">
        <v>240</v>
      </c>
      <c r="B39" t="s">
        <v>125</v>
      </c>
      <c r="C39" t="s">
        <v>126</v>
      </c>
      <c r="D39" t="s">
        <v>127</v>
      </c>
      <c r="E39">
        <v>45</v>
      </c>
      <c r="F39">
        <v>30</v>
      </c>
      <c r="G39">
        <v>8</v>
      </c>
      <c r="H39">
        <v>32</v>
      </c>
      <c r="I39" s="12">
        <f t="shared" ref="I39:I68" si="1">SUM(F39:H39)</f>
        <v>70</v>
      </c>
      <c r="J39">
        <v>1</v>
      </c>
      <c r="K39">
        <v>64</v>
      </c>
      <c r="L39" s="12">
        <f>'Control Center'!$B$19*'Master Inventory'!J39</f>
        <v>20</v>
      </c>
    </row>
    <row r="40" spans="1:12" x14ac:dyDescent="0.35">
      <c r="A40" s="12" t="s">
        <v>240</v>
      </c>
      <c r="B40" t="s">
        <v>128</v>
      </c>
      <c r="C40" t="s">
        <v>129</v>
      </c>
      <c r="D40" t="s">
        <v>130</v>
      </c>
      <c r="E40">
        <v>68</v>
      </c>
      <c r="F40">
        <v>30</v>
      </c>
      <c r="G40">
        <v>8</v>
      </c>
      <c r="H40">
        <v>32</v>
      </c>
      <c r="I40" s="12">
        <f t="shared" si="1"/>
        <v>70</v>
      </c>
      <c r="J40">
        <v>1</v>
      </c>
      <c r="K40">
        <v>64</v>
      </c>
      <c r="L40" s="12">
        <f>'Control Center'!$B$19*'Master Inventory'!J40</f>
        <v>20</v>
      </c>
    </row>
    <row r="41" spans="1:12" x14ac:dyDescent="0.35">
      <c r="A41" s="12" t="s">
        <v>240</v>
      </c>
      <c r="B41" t="s">
        <v>131</v>
      </c>
      <c r="C41" t="s">
        <v>132</v>
      </c>
      <c r="D41" t="s">
        <v>133</v>
      </c>
      <c r="E41">
        <v>61</v>
      </c>
      <c r="F41">
        <v>30</v>
      </c>
      <c r="G41">
        <v>8</v>
      </c>
      <c r="H41">
        <v>32</v>
      </c>
      <c r="I41" s="12">
        <f t="shared" si="1"/>
        <v>70</v>
      </c>
      <c r="J41">
        <v>1</v>
      </c>
      <c r="K41">
        <v>64</v>
      </c>
      <c r="L41" s="12">
        <f>'Control Center'!$B$19*'Master Inventory'!J41</f>
        <v>20</v>
      </c>
    </row>
    <row r="42" spans="1:12" x14ac:dyDescent="0.35">
      <c r="A42" s="12" t="s">
        <v>240</v>
      </c>
      <c r="B42" t="s">
        <v>134</v>
      </c>
      <c r="C42" t="s">
        <v>135</v>
      </c>
      <c r="D42" t="s">
        <v>136</v>
      </c>
      <c r="E42">
        <v>57</v>
      </c>
      <c r="F42">
        <v>30</v>
      </c>
      <c r="G42">
        <v>8</v>
      </c>
      <c r="H42">
        <v>32</v>
      </c>
      <c r="I42" s="12">
        <f t="shared" si="1"/>
        <v>70</v>
      </c>
      <c r="J42">
        <v>1</v>
      </c>
      <c r="K42">
        <v>64</v>
      </c>
      <c r="L42" s="12">
        <f>'Control Center'!$B$19*'Master Inventory'!J42</f>
        <v>20</v>
      </c>
    </row>
    <row r="43" spans="1:12" x14ac:dyDescent="0.35">
      <c r="A43" s="12" t="s">
        <v>240</v>
      </c>
      <c r="B43" t="s">
        <v>137</v>
      </c>
      <c r="C43" t="s">
        <v>138</v>
      </c>
      <c r="D43" t="s">
        <v>136</v>
      </c>
      <c r="E43">
        <v>86</v>
      </c>
      <c r="F43">
        <v>60</v>
      </c>
      <c r="G43">
        <v>16</v>
      </c>
      <c r="H43">
        <v>64</v>
      </c>
      <c r="I43" s="12">
        <f t="shared" si="1"/>
        <v>140</v>
      </c>
      <c r="J43">
        <v>2</v>
      </c>
      <c r="K43">
        <v>128</v>
      </c>
      <c r="L43" s="12">
        <f>'Control Center'!$B$19*'Master Inventory'!J43</f>
        <v>40</v>
      </c>
    </row>
    <row r="44" spans="1:12" x14ac:dyDescent="0.35">
      <c r="A44" s="12" t="s">
        <v>240</v>
      </c>
      <c r="B44" t="s">
        <v>139</v>
      </c>
      <c r="C44" t="s">
        <v>140</v>
      </c>
      <c r="D44" t="s">
        <v>141</v>
      </c>
      <c r="E44">
        <v>94</v>
      </c>
      <c r="F44">
        <v>30</v>
      </c>
      <c r="G44">
        <v>8</v>
      </c>
      <c r="H44">
        <v>32</v>
      </c>
      <c r="I44" s="12">
        <f t="shared" si="1"/>
        <v>70</v>
      </c>
      <c r="J44">
        <v>1</v>
      </c>
      <c r="K44">
        <v>64</v>
      </c>
      <c r="L44" s="12">
        <f>'Control Center'!$B$19*'Master Inventory'!J44</f>
        <v>20</v>
      </c>
    </row>
    <row r="45" spans="1:12" x14ac:dyDescent="0.35">
      <c r="A45" s="12" t="s">
        <v>240</v>
      </c>
      <c r="B45" t="s">
        <v>142</v>
      </c>
      <c r="C45" t="s">
        <v>143</v>
      </c>
      <c r="D45" t="s">
        <v>144</v>
      </c>
      <c r="E45">
        <v>43</v>
      </c>
      <c r="F45">
        <v>30</v>
      </c>
      <c r="G45">
        <v>8</v>
      </c>
      <c r="H45">
        <v>32</v>
      </c>
      <c r="I45" s="12">
        <f t="shared" si="1"/>
        <v>70</v>
      </c>
      <c r="J45">
        <v>1</v>
      </c>
      <c r="K45">
        <v>64</v>
      </c>
      <c r="L45" s="12">
        <f>'Control Center'!$B$19*'Master Inventory'!J45</f>
        <v>20</v>
      </c>
    </row>
    <row r="46" spans="1:12" x14ac:dyDescent="0.35">
      <c r="A46" s="12" t="s">
        <v>240</v>
      </c>
      <c r="B46" t="s">
        <v>145</v>
      </c>
      <c r="C46" t="s">
        <v>146</v>
      </c>
      <c r="D46" t="s">
        <v>147</v>
      </c>
      <c r="E46">
        <v>44</v>
      </c>
      <c r="F46">
        <v>30</v>
      </c>
      <c r="G46">
        <v>8</v>
      </c>
      <c r="H46">
        <v>32</v>
      </c>
      <c r="I46" s="12">
        <f t="shared" si="1"/>
        <v>70</v>
      </c>
      <c r="J46">
        <v>1</v>
      </c>
      <c r="K46">
        <v>64</v>
      </c>
      <c r="L46" s="12">
        <f>'Control Center'!$B$19*'Master Inventory'!J46</f>
        <v>20</v>
      </c>
    </row>
    <row r="47" spans="1:12" x14ac:dyDescent="0.35">
      <c r="A47" s="12" t="s">
        <v>240</v>
      </c>
      <c r="B47" t="s">
        <v>148</v>
      </c>
      <c r="C47" t="s">
        <v>149</v>
      </c>
      <c r="D47" t="s">
        <v>150</v>
      </c>
      <c r="E47">
        <v>86</v>
      </c>
      <c r="F47">
        <v>60</v>
      </c>
      <c r="G47">
        <v>16</v>
      </c>
      <c r="H47">
        <v>64</v>
      </c>
      <c r="I47" s="12">
        <f t="shared" si="1"/>
        <v>140</v>
      </c>
      <c r="J47">
        <v>2</v>
      </c>
      <c r="K47">
        <v>128</v>
      </c>
      <c r="L47" s="12">
        <f>'Control Center'!$B$19*'Master Inventory'!J47</f>
        <v>40</v>
      </c>
    </row>
    <row r="48" spans="1:12" x14ac:dyDescent="0.35">
      <c r="A48" s="12" t="s">
        <v>240</v>
      </c>
      <c r="B48" t="s">
        <v>151</v>
      </c>
      <c r="C48" t="s">
        <v>152</v>
      </c>
      <c r="D48" t="s">
        <v>153</v>
      </c>
      <c r="E48">
        <v>86</v>
      </c>
      <c r="F48">
        <v>60</v>
      </c>
      <c r="G48">
        <v>16</v>
      </c>
      <c r="H48">
        <v>64</v>
      </c>
      <c r="I48" s="12">
        <f t="shared" si="1"/>
        <v>140</v>
      </c>
      <c r="J48">
        <v>2</v>
      </c>
      <c r="K48">
        <v>128</v>
      </c>
      <c r="L48" s="12">
        <f>'Control Center'!$B$19*'Master Inventory'!J48</f>
        <v>40</v>
      </c>
    </row>
    <row r="49" spans="1:12" x14ac:dyDescent="0.35">
      <c r="A49" s="12" t="s">
        <v>240</v>
      </c>
      <c r="B49" t="s">
        <v>154</v>
      </c>
      <c r="C49" t="s">
        <v>155</v>
      </c>
      <c r="D49" t="s">
        <v>156</v>
      </c>
      <c r="E49">
        <v>51</v>
      </c>
      <c r="F49">
        <v>30</v>
      </c>
      <c r="G49">
        <v>8</v>
      </c>
      <c r="H49">
        <v>32</v>
      </c>
      <c r="I49" s="12">
        <f t="shared" si="1"/>
        <v>70</v>
      </c>
      <c r="J49">
        <v>1</v>
      </c>
      <c r="K49">
        <v>64</v>
      </c>
      <c r="L49" s="12">
        <f>'Control Center'!$B$19*'Master Inventory'!J49</f>
        <v>20</v>
      </c>
    </row>
    <row r="50" spans="1:12" x14ac:dyDescent="0.35">
      <c r="A50" s="12" t="s">
        <v>240</v>
      </c>
      <c r="B50" t="s">
        <v>157</v>
      </c>
      <c r="C50" t="s">
        <v>158</v>
      </c>
      <c r="D50" t="s">
        <v>159</v>
      </c>
      <c r="E50">
        <v>86</v>
      </c>
      <c r="F50">
        <v>60</v>
      </c>
      <c r="G50">
        <v>16</v>
      </c>
      <c r="H50">
        <v>64</v>
      </c>
      <c r="I50" s="12">
        <f t="shared" si="1"/>
        <v>140</v>
      </c>
      <c r="J50">
        <v>2</v>
      </c>
      <c r="K50">
        <v>128</v>
      </c>
      <c r="L50" s="12">
        <f>'Control Center'!$B$19*'Master Inventory'!J50</f>
        <v>40</v>
      </c>
    </row>
    <row r="51" spans="1:12" x14ac:dyDescent="0.35">
      <c r="A51" s="12" t="s">
        <v>240</v>
      </c>
      <c r="B51" t="s">
        <v>160</v>
      </c>
      <c r="C51" t="s">
        <v>161</v>
      </c>
      <c r="D51" t="s">
        <v>162</v>
      </c>
      <c r="E51">
        <v>40</v>
      </c>
      <c r="F51">
        <v>44</v>
      </c>
      <c r="G51">
        <v>2</v>
      </c>
      <c r="H51">
        <v>48</v>
      </c>
      <c r="I51" s="12">
        <f t="shared" si="1"/>
        <v>94</v>
      </c>
      <c r="J51">
        <v>2</v>
      </c>
      <c r="K51">
        <v>128</v>
      </c>
      <c r="L51" s="12">
        <f>'Control Center'!$B$19*'Master Inventory'!J51</f>
        <v>40</v>
      </c>
    </row>
    <row r="52" spans="1:12" x14ac:dyDescent="0.35">
      <c r="A52" s="12" t="s">
        <v>240</v>
      </c>
      <c r="B52" t="s">
        <v>163</v>
      </c>
      <c r="C52" t="s">
        <v>164</v>
      </c>
      <c r="D52" t="s">
        <v>165</v>
      </c>
      <c r="E52">
        <v>82</v>
      </c>
      <c r="F52">
        <v>60</v>
      </c>
      <c r="G52">
        <v>16</v>
      </c>
      <c r="H52">
        <v>64</v>
      </c>
      <c r="I52" s="12">
        <f t="shared" si="1"/>
        <v>140</v>
      </c>
      <c r="J52">
        <v>2</v>
      </c>
      <c r="K52">
        <v>128</v>
      </c>
      <c r="L52" s="12">
        <f>'Control Center'!$B$19*'Master Inventory'!J52</f>
        <v>40</v>
      </c>
    </row>
    <row r="53" spans="1:12" x14ac:dyDescent="0.35">
      <c r="A53" t="s">
        <v>246</v>
      </c>
      <c r="B53" t="s">
        <v>166</v>
      </c>
      <c r="C53" t="s">
        <v>167</v>
      </c>
      <c r="D53" t="s">
        <v>168</v>
      </c>
      <c r="E53">
        <v>58</v>
      </c>
      <c r="F53">
        <v>48</v>
      </c>
      <c r="G53">
        <v>8</v>
      </c>
      <c r="H53">
        <v>2</v>
      </c>
      <c r="I53" s="12">
        <f t="shared" si="1"/>
        <v>58</v>
      </c>
      <c r="J53">
        <v>1</v>
      </c>
      <c r="K53">
        <v>64</v>
      </c>
      <c r="L53" s="12">
        <f>'Control Center'!$B$19*'Master Inventory'!J53</f>
        <v>20</v>
      </c>
    </row>
    <row r="54" spans="1:12" x14ac:dyDescent="0.35">
      <c r="A54" s="12" t="s">
        <v>246</v>
      </c>
      <c r="B54" t="s">
        <v>169</v>
      </c>
      <c r="C54" t="s">
        <v>170</v>
      </c>
      <c r="D54" t="s">
        <v>171</v>
      </c>
      <c r="E54">
        <v>58</v>
      </c>
      <c r="F54">
        <v>48</v>
      </c>
      <c r="G54">
        <v>8</v>
      </c>
      <c r="H54">
        <v>2</v>
      </c>
      <c r="I54" s="12">
        <f t="shared" si="1"/>
        <v>58</v>
      </c>
      <c r="J54">
        <v>1</v>
      </c>
      <c r="K54">
        <v>64</v>
      </c>
      <c r="L54" s="12">
        <f>'Control Center'!$B$19*'Master Inventory'!J54</f>
        <v>20</v>
      </c>
    </row>
    <row r="55" spans="1:12" x14ac:dyDescent="0.35">
      <c r="A55" s="12" t="s">
        <v>246</v>
      </c>
      <c r="B55" t="s">
        <v>172</v>
      </c>
      <c r="C55" t="s">
        <v>173</v>
      </c>
      <c r="D55" t="s">
        <v>174</v>
      </c>
      <c r="E55">
        <v>56</v>
      </c>
      <c r="F55">
        <v>46</v>
      </c>
      <c r="G55">
        <v>8</v>
      </c>
      <c r="H55">
        <v>2</v>
      </c>
      <c r="I55" s="12">
        <f t="shared" si="1"/>
        <v>56</v>
      </c>
      <c r="J55">
        <v>1</v>
      </c>
      <c r="K55">
        <v>64</v>
      </c>
      <c r="L55" s="12">
        <f>'Control Center'!$B$19*'Master Inventory'!J55</f>
        <v>20</v>
      </c>
    </row>
    <row r="56" spans="1:12" x14ac:dyDescent="0.35">
      <c r="A56" s="12" t="s">
        <v>246</v>
      </c>
      <c r="B56" t="s">
        <v>175</v>
      </c>
      <c r="C56" t="s">
        <v>176</v>
      </c>
      <c r="D56" t="s">
        <v>177</v>
      </c>
      <c r="E56">
        <v>58</v>
      </c>
      <c r="F56">
        <v>48</v>
      </c>
      <c r="G56">
        <v>8</v>
      </c>
      <c r="H56">
        <v>2</v>
      </c>
      <c r="I56" s="12">
        <f t="shared" si="1"/>
        <v>58</v>
      </c>
      <c r="J56">
        <v>1</v>
      </c>
      <c r="K56">
        <v>64</v>
      </c>
      <c r="L56" s="12">
        <f>'Control Center'!$B$19*'Master Inventory'!J56</f>
        <v>20</v>
      </c>
    </row>
    <row r="57" spans="1:12" x14ac:dyDescent="0.35">
      <c r="A57" s="12" t="s">
        <v>246</v>
      </c>
      <c r="B57" t="s">
        <v>181</v>
      </c>
      <c r="C57" t="s">
        <v>182</v>
      </c>
      <c r="D57" t="s">
        <v>183</v>
      </c>
      <c r="E57">
        <v>59</v>
      </c>
      <c r="F57">
        <v>49</v>
      </c>
      <c r="G57">
        <v>8</v>
      </c>
      <c r="H57">
        <v>2</v>
      </c>
      <c r="I57" s="12">
        <f t="shared" si="1"/>
        <v>59</v>
      </c>
      <c r="J57">
        <v>1</v>
      </c>
      <c r="K57">
        <v>64</v>
      </c>
      <c r="L57" s="12">
        <f>'Control Center'!$B$19*'Master Inventory'!J57</f>
        <v>20</v>
      </c>
    </row>
    <row r="58" spans="1:12" x14ac:dyDescent="0.35">
      <c r="A58" s="12" t="s">
        <v>246</v>
      </c>
      <c r="B58" t="s">
        <v>184</v>
      </c>
      <c r="C58" t="s">
        <v>185</v>
      </c>
      <c r="D58" t="s">
        <v>186</v>
      </c>
      <c r="E58">
        <v>62</v>
      </c>
      <c r="F58">
        <v>52</v>
      </c>
      <c r="G58">
        <v>8</v>
      </c>
      <c r="H58">
        <v>2</v>
      </c>
      <c r="I58" s="12">
        <f t="shared" si="1"/>
        <v>62</v>
      </c>
      <c r="J58">
        <v>1</v>
      </c>
      <c r="K58">
        <v>64</v>
      </c>
      <c r="L58" s="12">
        <f>'Control Center'!$B$19*'Master Inventory'!J58</f>
        <v>20</v>
      </c>
    </row>
    <row r="59" spans="1:12" x14ac:dyDescent="0.35">
      <c r="A59" s="12" t="s">
        <v>246</v>
      </c>
      <c r="B59" t="s">
        <v>193</v>
      </c>
      <c r="C59" t="s">
        <v>194</v>
      </c>
      <c r="D59" t="s">
        <v>195</v>
      </c>
      <c r="E59">
        <v>34</v>
      </c>
      <c r="F59">
        <v>24</v>
      </c>
      <c r="G59">
        <v>8</v>
      </c>
      <c r="H59">
        <v>2</v>
      </c>
      <c r="I59" s="12">
        <f t="shared" si="1"/>
        <v>34</v>
      </c>
      <c r="J59">
        <v>1</v>
      </c>
      <c r="K59">
        <v>64</v>
      </c>
      <c r="L59" s="12">
        <f>'Control Center'!$B$19*'Master Inventory'!J59</f>
        <v>20</v>
      </c>
    </row>
    <row r="60" spans="1:12" x14ac:dyDescent="0.35">
      <c r="A60" s="12" t="s">
        <v>246</v>
      </c>
      <c r="B60" t="s">
        <v>196</v>
      </c>
      <c r="C60" t="s">
        <v>197</v>
      </c>
      <c r="D60" t="s">
        <v>198</v>
      </c>
      <c r="E60">
        <v>44</v>
      </c>
      <c r="F60">
        <v>42</v>
      </c>
      <c r="G60">
        <v>0</v>
      </c>
      <c r="H60">
        <v>2</v>
      </c>
      <c r="I60" s="12">
        <f t="shared" si="1"/>
        <v>44</v>
      </c>
      <c r="J60">
        <v>1</v>
      </c>
      <c r="K60">
        <v>64</v>
      </c>
      <c r="L60" s="12">
        <f>'Control Center'!$B$19*'Master Inventory'!J60</f>
        <v>20</v>
      </c>
    </row>
    <row r="61" spans="1:12" x14ac:dyDescent="0.35">
      <c r="A61" s="12" t="s">
        <v>246</v>
      </c>
      <c r="B61" t="s">
        <v>199</v>
      </c>
      <c r="C61" t="s">
        <v>200</v>
      </c>
      <c r="D61" t="s">
        <v>147</v>
      </c>
      <c r="E61">
        <v>45</v>
      </c>
      <c r="F61">
        <v>35</v>
      </c>
      <c r="G61">
        <v>8</v>
      </c>
      <c r="H61">
        <v>2</v>
      </c>
      <c r="I61" s="12">
        <f t="shared" si="1"/>
        <v>45</v>
      </c>
      <c r="J61">
        <v>1</v>
      </c>
      <c r="K61">
        <v>64</v>
      </c>
      <c r="L61" s="12">
        <f>'Control Center'!$B$19*'Master Inventory'!J61</f>
        <v>20</v>
      </c>
    </row>
    <row r="62" spans="1:12" x14ac:dyDescent="0.35">
      <c r="A62" s="12" t="s">
        <v>246</v>
      </c>
      <c r="B62" t="s">
        <v>201</v>
      </c>
      <c r="C62" t="s">
        <v>74</v>
      </c>
      <c r="D62" t="s">
        <v>195</v>
      </c>
      <c r="E62">
        <v>54</v>
      </c>
      <c r="F62">
        <v>44</v>
      </c>
      <c r="G62">
        <v>8</v>
      </c>
      <c r="H62">
        <v>2</v>
      </c>
      <c r="I62" s="12">
        <f t="shared" si="1"/>
        <v>54</v>
      </c>
      <c r="J62">
        <v>1</v>
      </c>
      <c r="K62">
        <v>64</v>
      </c>
      <c r="L62" s="12">
        <f>'Control Center'!$B$19*'Master Inventory'!J62</f>
        <v>20</v>
      </c>
    </row>
    <row r="63" spans="1:12" x14ac:dyDescent="0.35">
      <c r="A63" s="12" t="s">
        <v>246</v>
      </c>
      <c r="B63" t="s">
        <v>202</v>
      </c>
      <c r="C63" t="s">
        <v>203</v>
      </c>
      <c r="D63" t="s">
        <v>204</v>
      </c>
      <c r="E63">
        <v>52</v>
      </c>
      <c r="F63">
        <v>50</v>
      </c>
      <c r="G63">
        <v>0</v>
      </c>
      <c r="H63">
        <v>2</v>
      </c>
      <c r="I63" s="12">
        <f t="shared" si="1"/>
        <v>52</v>
      </c>
      <c r="J63">
        <v>1</v>
      </c>
      <c r="K63">
        <v>64</v>
      </c>
      <c r="L63" s="12">
        <f>'Control Center'!$B$19*'Master Inventory'!J63</f>
        <v>20</v>
      </c>
    </row>
    <row r="64" spans="1:12" x14ac:dyDescent="0.35">
      <c r="A64" s="12" t="s">
        <v>246</v>
      </c>
      <c r="B64" t="s">
        <v>205</v>
      </c>
      <c r="C64" t="s">
        <v>206</v>
      </c>
      <c r="D64" t="s">
        <v>147</v>
      </c>
      <c r="E64">
        <v>42</v>
      </c>
      <c r="F64">
        <v>32</v>
      </c>
      <c r="G64">
        <v>8</v>
      </c>
      <c r="H64">
        <v>2</v>
      </c>
      <c r="I64" s="12">
        <f t="shared" si="1"/>
        <v>42</v>
      </c>
      <c r="J64">
        <v>1</v>
      </c>
      <c r="K64">
        <v>64</v>
      </c>
      <c r="L64" s="12">
        <f>'Control Center'!$B$19*'Master Inventory'!J64</f>
        <v>20</v>
      </c>
    </row>
    <row r="65" spans="1:12" x14ac:dyDescent="0.35">
      <c r="A65" s="12" t="s">
        <v>246</v>
      </c>
      <c r="B65" t="s">
        <v>207</v>
      </c>
      <c r="C65" t="s">
        <v>208</v>
      </c>
      <c r="D65" t="s">
        <v>209</v>
      </c>
      <c r="E65">
        <v>45</v>
      </c>
      <c r="F65">
        <v>35</v>
      </c>
      <c r="G65">
        <v>8</v>
      </c>
      <c r="H65">
        <v>2</v>
      </c>
      <c r="I65" s="12">
        <f t="shared" si="1"/>
        <v>45</v>
      </c>
      <c r="J65">
        <v>1</v>
      </c>
      <c r="K65">
        <v>64</v>
      </c>
      <c r="L65" s="12">
        <f>'Control Center'!$B$19*'Master Inventory'!J65</f>
        <v>20</v>
      </c>
    </row>
    <row r="66" spans="1:12" x14ac:dyDescent="0.35">
      <c r="A66" s="12" t="s">
        <v>246</v>
      </c>
      <c r="B66" t="s">
        <v>210</v>
      </c>
      <c r="C66" t="s">
        <v>211</v>
      </c>
      <c r="D66" t="s">
        <v>212</v>
      </c>
      <c r="E66">
        <v>71</v>
      </c>
      <c r="F66">
        <v>61</v>
      </c>
      <c r="G66">
        <v>8</v>
      </c>
      <c r="H66">
        <v>2</v>
      </c>
      <c r="I66" s="12">
        <f t="shared" si="1"/>
        <v>71</v>
      </c>
      <c r="J66">
        <v>1</v>
      </c>
      <c r="K66">
        <v>64</v>
      </c>
      <c r="L66" s="12">
        <f>'Control Center'!$B$19*'Master Inventory'!J66</f>
        <v>20</v>
      </c>
    </row>
    <row r="67" spans="1:12" x14ac:dyDescent="0.35">
      <c r="A67" s="12" t="s">
        <v>246</v>
      </c>
      <c r="B67" t="s">
        <v>213</v>
      </c>
      <c r="C67" t="s">
        <v>214</v>
      </c>
      <c r="D67" t="s">
        <v>215</v>
      </c>
      <c r="E67">
        <v>48</v>
      </c>
      <c r="F67">
        <v>38</v>
      </c>
      <c r="G67">
        <v>8</v>
      </c>
      <c r="H67">
        <v>2</v>
      </c>
      <c r="I67" s="12">
        <f t="shared" si="1"/>
        <v>48</v>
      </c>
      <c r="J67">
        <v>1</v>
      </c>
      <c r="K67">
        <v>64</v>
      </c>
      <c r="L67" s="12">
        <f>'Control Center'!$B$19*'Master Inventory'!J67</f>
        <v>20</v>
      </c>
    </row>
    <row r="68" spans="1:12" x14ac:dyDescent="0.35">
      <c r="A68" s="12" t="s">
        <v>246</v>
      </c>
      <c r="B68" t="s">
        <v>219</v>
      </c>
      <c r="C68" t="s">
        <v>220</v>
      </c>
      <c r="D68" t="s">
        <v>221</v>
      </c>
      <c r="E68">
        <v>71</v>
      </c>
      <c r="F68">
        <v>61</v>
      </c>
      <c r="G68">
        <v>8</v>
      </c>
      <c r="H68">
        <v>2</v>
      </c>
      <c r="I68" s="12">
        <f t="shared" si="1"/>
        <v>71</v>
      </c>
      <c r="J68">
        <v>1</v>
      </c>
      <c r="K68">
        <v>64</v>
      </c>
      <c r="L68" s="12">
        <f>'Control Center'!$B$19*'Master Inventory'!J68</f>
        <v>20</v>
      </c>
    </row>
    <row r="69" spans="1:12" x14ac:dyDescent="0.35">
      <c r="A69" t="s">
        <v>247</v>
      </c>
      <c r="B69" t="s">
        <v>42</v>
      </c>
      <c r="C69" t="s">
        <v>43</v>
      </c>
      <c r="D69" t="s">
        <v>44</v>
      </c>
      <c r="E69">
        <v>177</v>
      </c>
      <c r="F69">
        <v>159</v>
      </c>
      <c r="G69">
        <v>18</v>
      </c>
      <c r="H69">
        <v>0</v>
      </c>
      <c r="I69" s="12">
        <f t="shared" ref="I69:I76" si="2">SUM(F69:H69)</f>
        <v>177</v>
      </c>
      <c r="J69">
        <v>2</v>
      </c>
      <c r="K69">
        <v>128</v>
      </c>
      <c r="L69" s="12">
        <f>'Control Center'!$B$19*'Master Inventory'!J69</f>
        <v>40</v>
      </c>
    </row>
    <row r="70" spans="1:12" x14ac:dyDescent="0.35">
      <c r="A70" s="12" t="s">
        <v>247</v>
      </c>
      <c r="B70" t="s">
        <v>87</v>
      </c>
      <c r="C70" t="s">
        <v>88</v>
      </c>
      <c r="D70" t="s">
        <v>89</v>
      </c>
      <c r="E70">
        <v>78</v>
      </c>
      <c r="F70">
        <v>60</v>
      </c>
      <c r="G70">
        <v>18</v>
      </c>
      <c r="H70">
        <v>0</v>
      </c>
      <c r="I70" s="12">
        <f t="shared" si="2"/>
        <v>78</v>
      </c>
      <c r="J70">
        <v>2</v>
      </c>
      <c r="K70">
        <v>128</v>
      </c>
      <c r="L70" s="12">
        <f>'Control Center'!$B$19*'Master Inventory'!J70</f>
        <v>40</v>
      </c>
    </row>
    <row r="71" spans="1:12" x14ac:dyDescent="0.35">
      <c r="A71" s="12" t="s">
        <v>247</v>
      </c>
      <c r="B71" t="s">
        <v>90</v>
      </c>
      <c r="C71" t="s">
        <v>91</v>
      </c>
      <c r="D71" t="s">
        <v>92</v>
      </c>
      <c r="E71">
        <v>72</v>
      </c>
      <c r="F71">
        <v>54</v>
      </c>
      <c r="G71">
        <v>18</v>
      </c>
      <c r="H71">
        <v>0</v>
      </c>
      <c r="I71" s="12">
        <f t="shared" si="2"/>
        <v>72</v>
      </c>
      <c r="J71">
        <v>2</v>
      </c>
      <c r="K71">
        <v>128</v>
      </c>
      <c r="L71" s="12">
        <f>'Control Center'!$B$19*'Master Inventory'!J71</f>
        <v>40</v>
      </c>
    </row>
    <row r="72" spans="1:12" x14ac:dyDescent="0.35">
      <c r="A72" s="12" t="s">
        <v>247</v>
      </c>
      <c r="B72" t="s">
        <v>96</v>
      </c>
      <c r="C72" t="s">
        <v>97</v>
      </c>
      <c r="D72" t="s">
        <v>98</v>
      </c>
      <c r="E72">
        <v>127</v>
      </c>
      <c r="F72">
        <v>109</v>
      </c>
      <c r="G72">
        <v>18</v>
      </c>
      <c r="H72">
        <v>0</v>
      </c>
      <c r="I72" s="12">
        <f t="shared" si="2"/>
        <v>127</v>
      </c>
      <c r="J72">
        <v>2</v>
      </c>
      <c r="K72">
        <v>128</v>
      </c>
      <c r="L72" s="12">
        <f>'Control Center'!$B$19*'Master Inventory'!J72</f>
        <v>40</v>
      </c>
    </row>
    <row r="73" spans="1:12" x14ac:dyDescent="0.35">
      <c r="A73" t="s">
        <v>248</v>
      </c>
      <c r="B73" t="s">
        <v>178</v>
      </c>
      <c r="C73" t="s">
        <v>179</v>
      </c>
      <c r="D73" t="s">
        <v>180</v>
      </c>
      <c r="E73">
        <v>57</v>
      </c>
      <c r="F73">
        <v>48</v>
      </c>
      <c r="G73">
        <v>9</v>
      </c>
      <c r="H73">
        <v>0</v>
      </c>
      <c r="I73" s="12">
        <f t="shared" si="2"/>
        <v>57</v>
      </c>
      <c r="J73">
        <v>1</v>
      </c>
      <c r="K73">
        <v>64</v>
      </c>
      <c r="L73" s="12">
        <f>'Control Center'!$B$19*'Master Inventory'!J73</f>
        <v>20</v>
      </c>
    </row>
    <row r="74" spans="1:12" x14ac:dyDescent="0.35">
      <c r="A74" s="12" t="s">
        <v>248</v>
      </c>
      <c r="B74" t="s">
        <v>187</v>
      </c>
      <c r="C74" t="s">
        <v>188</v>
      </c>
      <c r="D74" t="s">
        <v>189</v>
      </c>
      <c r="E74">
        <v>64</v>
      </c>
      <c r="F74">
        <v>55</v>
      </c>
      <c r="G74">
        <v>9</v>
      </c>
      <c r="H74">
        <v>0</v>
      </c>
      <c r="I74" s="12">
        <f t="shared" si="2"/>
        <v>64</v>
      </c>
      <c r="J74">
        <v>1</v>
      </c>
      <c r="K74">
        <v>64</v>
      </c>
      <c r="L74" s="12">
        <f>'Control Center'!$B$19*'Master Inventory'!J74</f>
        <v>20</v>
      </c>
    </row>
    <row r="75" spans="1:12" x14ac:dyDescent="0.35">
      <c r="A75" s="12" t="s">
        <v>248</v>
      </c>
      <c r="B75" t="s">
        <v>190</v>
      </c>
      <c r="C75" t="s">
        <v>191</v>
      </c>
      <c r="D75" t="s">
        <v>192</v>
      </c>
      <c r="E75">
        <v>58</v>
      </c>
      <c r="F75">
        <v>49</v>
      </c>
      <c r="G75">
        <v>9</v>
      </c>
      <c r="H75">
        <v>0</v>
      </c>
      <c r="I75" s="12">
        <f t="shared" si="2"/>
        <v>58</v>
      </c>
      <c r="J75">
        <v>1</v>
      </c>
      <c r="K75">
        <v>64</v>
      </c>
      <c r="L75" s="12">
        <f>'Control Center'!$B$19*'Master Inventory'!J75</f>
        <v>20</v>
      </c>
    </row>
    <row r="76" spans="1:12" x14ac:dyDescent="0.35">
      <c r="A76" s="12" t="s">
        <v>248</v>
      </c>
      <c r="B76" t="s">
        <v>216</v>
      </c>
      <c r="C76" t="s">
        <v>217</v>
      </c>
      <c r="D76" t="s">
        <v>218</v>
      </c>
      <c r="E76">
        <v>46</v>
      </c>
      <c r="F76">
        <v>37</v>
      </c>
      <c r="G76">
        <v>9</v>
      </c>
      <c r="H76">
        <v>0</v>
      </c>
      <c r="I76" s="12">
        <f t="shared" si="2"/>
        <v>46</v>
      </c>
      <c r="J76">
        <v>1</v>
      </c>
      <c r="K76">
        <v>64</v>
      </c>
      <c r="L76" s="12">
        <f>'Control Center'!$B$19*'Master Inventory'!J76</f>
        <v>20</v>
      </c>
    </row>
  </sheetData>
  <mergeCells count="2">
    <mergeCell ref="A1:L3"/>
    <mergeCell ref="A4:L4"/>
  </mergeCells>
  <pageMargins left="0.7" right="0.7" top="0.75" bottom="0.75" header="0.3" footer="0.3"/>
  <ignoredErrors>
    <ignoredError sqref="I7:I14 I15:I28 I29 I30:I37"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cordKitCreation">
                <anchor moveWithCells="1" sizeWithCells="1">
                  <from>
                    <xdr:col>1</xdr:col>
                    <xdr:colOff>76200</xdr:colOff>
                    <xdr:row>0</xdr:row>
                    <xdr:rowOff>69850</xdr:rowOff>
                  </from>
                  <to>
                    <xdr:col>2</xdr:col>
                    <xdr:colOff>844550</xdr:colOff>
                    <xdr:row>2</xdr:row>
                    <xdr:rowOff>114300</xdr:rowOff>
                  </to>
                </anchor>
              </controlPr>
            </control>
          </mc:Choice>
        </mc:AlternateContent>
        <mc:AlternateContent xmlns:mc="http://schemas.openxmlformats.org/markup-compatibility/2006">
          <mc:Choice Requires="x14">
            <control shapeId="7170" r:id="rId4" name="Button 2">
              <controlPr defaultSize="0" print="0" autoFill="0" autoPict="0" macro="[0]!issueCableBuild">
                <anchor moveWithCells="1" sizeWithCells="1">
                  <from>
                    <xdr:col>2</xdr:col>
                    <xdr:colOff>933450</xdr:colOff>
                    <xdr:row>0</xdr:row>
                    <xdr:rowOff>69850</xdr:rowOff>
                  </from>
                  <to>
                    <xdr:col>2</xdr:col>
                    <xdr:colOff>3048000</xdr:colOff>
                    <xdr:row>2</xdr:row>
                    <xdr:rowOff>114300</xdr:rowOff>
                  </to>
                </anchor>
              </controlPr>
            </control>
          </mc:Choice>
        </mc:AlternateContent>
        <mc:AlternateContent xmlns:mc="http://schemas.openxmlformats.org/markup-compatibility/2006">
          <mc:Choice Requires="x14">
            <control shapeId="7171" r:id="rId5" name="Button 3">
              <controlPr defaultSize="0" print="0" autoFill="0" autoPict="0" macro="[0]!issueIntegrationBuild">
                <anchor moveWithCells="1" sizeWithCells="1">
                  <from>
                    <xdr:col>2</xdr:col>
                    <xdr:colOff>3136900</xdr:colOff>
                    <xdr:row>0</xdr:row>
                    <xdr:rowOff>69850</xdr:rowOff>
                  </from>
                  <to>
                    <xdr:col>3</xdr:col>
                    <xdr:colOff>1085850</xdr:colOff>
                    <xdr:row>2</xdr:row>
                    <xdr:rowOff>114300</xdr:rowOff>
                  </to>
                </anchor>
              </controlPr>
            </control>
          </mc:Choice>
        </mc:AlternateContent>
        <mc:AlternateContent xmlns:mc="http://schemas.openxmlformats.org/markup-compatibility/2006">
          <mc:Choice Requires="x14">
            <control shapeId="7173" r:id="rId6" name="Button 5">
              <controlPr defaultSize="0" print="0" autoFill="0" autoPict="0" macro="[0]!processStaffKit">
                <anchor moveWithCells="1" sizeWithCells="1">
                  <from>
                    <xdr:col>4</xdr:col>
                    <xdr:colOff>57150</xdr:colOff>
                    <xdr:row>0</xdr:row>
                    <xdr:rowOff>69850</xdr:rowOff>
                  </from>
                  <to>
                    <xdr:col>6</xdr:col>
                    <xdr:colOff>711200</xdr:colOff>
                    <xdr:row>2</xdr:row>
                    <xdr:rowOff>114300</xdr:rowOff>
                  </to>
                </anchor>
              </controlPr>
            </control>
          </mc:Choice>
        </mc:AlternateContent>
        <mc:AlternateContent xmlns:mc="http://schemas.openxmlformats.org/markup-compatibility/2006">
          <mc:Choice Requires="x14">
            <control shapeId="7174" r:id="rId7" name="Button 6">
              <controlPr defaultSize="0" print="0" autoFill="0" autoPict="0" macro="[0]!btnRecordShipment">
                <anchor moveWithCells="1" sizeWithCells="1">
                  <from>
                    <xdr:col>6</xdr:col>
                    <xdr:colOff>774700</xdr:colOff>
                    <xdr:row>0</xdr:row>
                    <xdr:rowOff>69850</xdr:rowOff>
                  </from>
                  <to>
                    <xdr:col>8</xdr:col>
                    <xdr:colOff>1123950</xdr:colOff>
                    <xdr:row>2</xdr:row>
                    <xdr:rowOff>114300</xdr:rowOff>
                  </to>
                </anchor>
              </controlPr>
            </control>
          </mc:Choice>
        </mc:AlternateContent>
        <mc:AlternateContent xmlns:mc="http://schemas.openxmlformats.org/markup-compatibility/2006">
          <mc:Choice Requires="x14">
            <control shapeId="7175" r:id="rId8" name="Button 7">
              <controlPr defaultSize="0" print="0" autoFill="0" autoPict="0" macro="[0]!btnViewReportsClick">
                <anchor moveWithCells="1" sizeWithCells="1">
                  <from>
                    <xdr:col>8</xdr:col>
                    <xdr:colOff>1206500</xdr:colOff>
                    <xdr:row>0</xdr:row>
                    <xdr:rowOff>69850</xdr:rowOff>
                  </from>
                  <to>
                    <xdr:col>10</xdr:col>
                    <xdr:colOff>895350</xdr:colOff>
                    <xdr:row>2</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mpletedBuilds"/>
  <dimension ref="A1:H19"/>
  <sheetViews>
    <sheetView tabSelected="1" workbookViewId="0">
      <selection activeCell="A14" sqref="A14"/>
    </sheetView>
  </sheetViews>
  <sheetFormatPr defaultRowHeight="14.5" x14ac:dyDescent="0.35"/>
  <cols>
    <col min="1" max="1" width="8.90625" bestFit="1" customWidth="1"/>
    <col min="2" max="6" width="9.81640625" customWidth="1"/>
    <col min="7" max="7" width="47.81640625" style="22" customWidth="1"/>
    <col min="8" max="8" width="14" customWidth="1"/>
  </cols>
  <sheetData>
    <row r="1" spans="1:8" s="12" customFormat="1" ht="22.5" x14ac:dyDescent="0.45">
      <c r="A1" s="29" t="s">
        <v>274</v>
      </c>
      <c r="B1" s="29"/>
      <c r="C1" s="29"/>
      <c r="D1" s="29"/>
      <c r="E1" s="29"/>
      <c r="F1" s="29"/>
      <c r="G1" s="29"/>
      <c r="H1" s="29"/>
    </row>
    <row r="2" spans="1:8" ht="17.5" thickBot="1" x14ac:dyDescent="0.45">
      <c r="A2" s="13" t="s">
        <v>259</v>
      </c>
      <c r="B2" s="13" t="s">
        <v>255</v>
      </c>
      <c r="C2" s="13" t="s">
        <v>256</v>
      </c>
      <c r="D2" s="13" t="s">
        <v>257</v>
      </c>
      <c r="E2" s="13" t="s">
        <v>258</v>
      </c>
      <c r="F2" s="13" t="s">
        <v>260</v>
      </c>
      <c r="G2" s="21" t="s">
        <v>227</v>
      </c>
      <c r="H2" s="13" t="s">
        <v>273</v>
      </c>
    </row>
    <row r="3" spans="1:8" ht="15" thickTop="1" x14ac:dyDescent="0.35">
      <c r="A3" t="s">
        <v>254</v>
      </c>
      <c r="B3" s="31">
        <v>1</v>
      </c>
      <c r="C3" s="31">
        <v>2</v>
      </c>
      <c r="D3" s="31">
        <v>3</v>
      </c>
      <c r="E3" s="31">
        <v>4</v>
      </c>
      <c r="F3" s="31">
        <v>5</v>
      </c>
      <c r="G3" s="22" t="s">
        <v>280</v>
      </c>
      <c r="H3" s="2">
        <v>41743</v>
      </c>
    </row>
    <row r="4" spans="1:8" x14ac:dyDescent="0.35">
      <c r="A4" t="s">
        <v>261</v>
      </c>
      <c r="B4" s="31">
        <v>6</v>
      </c>
      <c r="C4" s="31">
        <v>7</v>
      </c>
      <c r="D4" s="31">
        <v>8</v>
      </c>
      <c r="E4" s="31">
        <v>9</v>
      </c>
      <c r="F4" s="31">
        <v>10</v>
      </c>
      <c r="G4" s="22" t="s">
        <v>281</v>
      </c>
      <c r="H4" s="2">
        <v>41743</v>
      </c>
    </row>
    <row r="5" spans="1:8" x14ac:dyDescent="0.35">
      <c r="A5" t="s">
        <v>262</v>
      </c>
      <c r="B5" s="31">
        <v>11</v>
      </c>
      <c r="C5" s="31">
        <v>12</v>
      </c>
      <c r="D5" s="31">
        <v>13</v>
      </c>
      <c r="E5" s="31">
        <v>14</v>
      </c>
      <c r="F5" s="31">
        <v>15</v>
      </c>
      <c r="G5" s="22" t="s">
        <v>282</v>
      </c>
      <c r="H5" s="2">
        <v>41743</v>
      </c>
    </row>
    <row r="6" spans="1:8" x14ac:dyDescent="0.35">
      <c r="A6" t="s">
        <v>263</v>
      </c>
      <c r="B6" s="31">
        <v>16</v>
      </c>
      <c r="C6" s="31">
        <v>17</v>
      </c>
      <c r="D6" s="31">
        <v>18</v>
      </c>
      <c r="E6" s="31">
        <v>19</v>
      </c>
      <c r="F6" s="31">
        <v>20</v>
      </c>
      <c r="G6" s="22" t="s">
        <v>280</v>
      </c>
      <c r="H6" s="2">
        <v>41743</v>
      </c>
    </row>
    <row r="7" spans="1:8" x14ac:dyDescent="0.35">
      <c r="A7" t="s">
        <v>264</v>
      </c>
      <c r="B7" s="31">
        <v>21</v>
      </c>
      <c r="C7" s="31">
        <v>22</v>
      </c>
      <c r="D7" s="31">
        <v>23</v>
      </c>
      <c r="E7" s="31">
        <v>24</v>
      </c>
      <c r="F7" s="31">
        <v>25</v>
      </c>
      <c r="G7" s="22" t="s">
        <v>280</v>
      </c>
      <c r="H7" s="2">
        <v>41743</v>
      </c>
    </row>
    <row r="8" spans="1:8" x14ac:dyDescent="0.35">
      <c r="A8" t="s">
        <v>265</v>
      </c>
      <c r="B8" s="31">
        <v>26</v>
      </c>
      <c r="C8" s="31">
        <v>27</v>
      </c>
      <c r="D8" s="31">
        <v>28</v>
      </c>
      <c r="E8" s="31">
        <v>29</v>
      </c>
      <c r="F8" s="31">
        <v>30</v>
      </c>
      <c r="G8" s="22" t="s">
        <v>283</v>
      </c>
      <c r="H8" s="2">
        <v>41743</v>
      </c>
    </row>
    <row r="9" spans="1:8" x14ac:dyDescent="0.35">
      <c r="A9" t="s">
        <v>266</v>
      </c>
      <c r="B9" s="31">
        <v>31</v>
      </c>
      <c r="C9" s="31">
        <v>32</v>
      </c>
      <c r="D9" s="31">
        <v>33</v>
      </c>
      <c r="E9" s="31">
        <v>34</v>
      </c>
      <c r="F9" s="31">
        <v>35</v>
      </c>
      <c r="G9" s="22" t="s">
        <v>284</v>
      </c>
      <c r="H9" s="2">
        <v>41743</v>
      </c>
    </row>
    <row r="10" spans="1:8" x14ac:dyDescent="0.35">
      <c r="A10" t="s">
        <v>267</v>
      </c>
      <c r="B10" s="31">
        <v>36</v>
      </c>
      <c r="C10" s="31">
        <v>37</v>
      </c>
      <c r="D10" s="31">
        <v>38</v>
      </c>
      <c r="E10" s="31">
        <v>39</v>
      </c>
      <c r="F10" s="31">
        <v>40</v>
      </c>
      <c r="G10" s="22" t="s">
        <v>280</v>
      </c>
      <c r="H10" s="2">
        <v>41743</v>
      </c>
    </row>
    <row r="11" spans="1:8" x14ac:dyDescent="0.35">
      <c r="A11" t="s">
        <v>268</v>
      </c>
      <c r="B11" s="31">
        <v>41</v>
      </c>
      <c r="C11" s="31">
        <v>42</v>
      </c>
      <c r="D11" s="31">
        <v>43</v>
      </c>
      <c r="E11" s="31">
        <v>44</v>
      </c>
      <c r="F11" s="31">
        <v>45</v>
      </c>
      <c r="G11" s="22" t="s">
        <v>285</v>
      </c>
      <c r="H11" s="2">
        <v>41743</v>
      </c>
    </row>
    <row r="12" spans="1:8" x14ac:dyDescent="0.35">
      <c r="A12" t="s">
        <v>269</v>
      </c>
      <c r="B12" s="31">
        <v>46</v>
      </c>
      <c r="C12" s="31">
        <v>47</v>
      </c>
      <c r="D12" s="31">
        <v>48</v>
      </c>
      <c r="E12" s="31">
        <v>49</v>
      </c>
      <c r="F12" s="31">
        <v>50</v>
      </c>
      <c r="G12" s="22" t="s">
        <v>281</v>
      </c>
      <c r="H12" s="2">
        <v>41743</v>
      </c>
    </row>
    <row r="13" spans="1:8" x14ac:dyDescent="0.35">
      <c r="A13" t="s">
        <v>288</v>
      </c>
      <c r="B13" s="31">
        <v>104921358</v>
      </c>
      <c r="C13" s="31">
        <v>103901538</v>
      </c>
      <c r="D13" s="31">
        <v>230589325</v>
      </c>
      <c r="E13" s="31">
        <v>230958678</v>
      </c>
      <c r="F13" s="31">
        <v>120194848</v>
      </c>
      <c r="G13" s="22" t="s">
        <v>289</v>
      </c>
      <c r="H13" s="2">
        <v>41743</v>
      </c>
    </row>
    <row r="14" spans="1:8" x14ac:dyDescent="0.35">
      <c r="A14" t="s">
        <v>296</v>
      </c>
      <c r="B14">
        <v>15689</v>
      </c>
      <c r="C14">
        <v>85223</v>
      </c>
      <c r="D14" t="s">
        <v>297</v>
      </c>
      <c r="E14" t="s">
        <v>298</v>
      </c>
      <c r="F14">
        <v>109485</v>
      </c>
      <c r="G14" s="22" t="s">
        <v>299</v>
      </c>
      <c r="H14" s="2">
        <v>41744</v>
      </c>
    </row>
    <row r="15" spans="1:8" x14ac:dyDescent="0.35">
      <c r="A15" t="s">
        <v>300</v>
      </c>
      <c r="B15" s="12" t="s">
        <v>298</v>
      </c>
      <c r="C15" s="12">
        <v>15689</v>
      </c>
      <c r="D15" s="12">
        <v>85223</v>
      </c>
      <c r="E15" s="12" t="s">
        <v>298</v>
      </c>
      <c r="F15" s="31">
        <v>230589325</v>
      </c>
    </row>
    <row r="16" spans="1:8" x14ac:dyDescent="0.35">
      <c r="A16" t="s">
        <v>301</v>
      </c>
      <c r="B16" s="12" t="s">
        <v>298</v>
      </c>
      <c r="C16" s="12" t="s">
        <v>298</v>
      </c>
      <c r="D16" s="12">
        <v>15689</v>
      </c>
      <c r="E16" s="12">
        <v>85223</v>
      </c>
      <c r="F16" s="31">
        <v>47</v>
      </c>
      <c r="H16" s="2">
        <v>41744</v>
      </c>
    </row>
    <row r="17" spans="1:8" x14ac:dyDescent="0.35">
      <c r="A17" t="s">
        <v>302</v>
      </c>
      <c r="B17" s="12">
        <v>15689</v>
      </c>
      <c r="C17" s="12">
        <v>85223</v>
      </c>
      <c r="D17" s="12" t="s">
        <v>298</v>
      </c>
      <c r="E17" s="31">
        <v>230589325</v>
      </c>
      <c r="F17" s="12" t="s">
        <v>298</v>
      </c>
      <c r="H17" s="2">
        <v>41744</v>
      </c>
    </row>
    <row r="18" spans="1:8" x14ac:dyDescent="0.35">
      <c r="A18" t="s">
        <v>303</v>
      </c>
      <c r="B18" s="31">
        <v>230589325</v>
      </c>
      <c r="C18" s="12">
        <v>15689</v>
      </c>
      <c r="D18" s="12">
        <v>85223</v>
      </c>
      <c r="E18" s="12" t="s">
        <v>298</v>
      </c>
      <c r="F18" s="31">
        <v>230589325</v>
      </c>
    </row>
    <row r="19" spans="1:8" x14ac:dyDescent="0.35">
      <c r="A19" t="s">
        <v>304</v>
      </c>
      <c r="B19" s="12" t="s">
        <v>298</v>
      </c>
      <c r="C19" s="31">
        <v>230589325</v>
      </c>
      <c r="D19" s="12">
        <v>15689</v>
      </c>
      <c r="E19" s="12">
        <v>85223</v>
      </c>
      <c r="F19" s="12" t="s">
        <v>298</v>
      </c>
    </row>
  </sheetData>
  <mergeCells count="1">
    <mergeCell ref="A1:H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ports"/>
  <dimension ref="A1:J9"/>
  <sheetViews>
    <sheetView workbookViewId="0">
      <selection sqref="A1:J1"/>
    </sheetView>
  </sheetViews>
  <sheetFormatPr defaultRowHeight="14.5" x14ac:dyDescent="0.35"/>
  <cols>
    <col min="1" max="1" width="14.54296875" customWidth="1"/>
    <col min="2" max="2" width="15.26953125" customWidth="1"/>
    <col min="3" max="3" width="10.7265625" customWidth="1"/>
    <col min="4" max="4" width="9.08984375" customWidth="1"/>
    <col min="5" max="5" width="10.1796875" customWidth="1"/>
    <col min="6" max="6" width="10.7265625" bestFit="1" customWidth="1"/>
  </cols>
  <sheetData>
    <row r="1" spans="1:10" ht="27.65" customHeight="1" x14ac:dyDescent="0.25">
      <c r="A1" s="27" t="s">
        <v>223</v>
      </c>
      <c r="B1" s="27"/>
      <c r="C1" s="27"/>
      <c r="D1" s="27"/>
      <c r="E1" s="27"/>
      <c r="F1" s="27"/>
      <c r="G1" s="27"/>
      <c r="H1" s="27"/>
      <c r="I1" s="27"/>
      <c r="J1" s="27"/>
    </row>
    <row r="2" spans="1:10" x14ac:dyDescent="0.35">
      <c r="A2" s="32" t="s">
        <v>224</v>
      </c>
      <c r="B2" s="12" t="s">
        <v>290</v>
      </c>
    </row>
    <row r="3" spans="1:10" x14ac:dyDescent="0.35">
      <c r="A3" s="32" t="s">
        <v>279</v>
      </c>
      <c r="B3" s="12" t="s">
        <v>290</v>
      </c>
    </row>
    <row r="5" spans="1:10" x14ac:dyDescent="0.35">
      <c r="A5" s="32" t="s">
        <v>294</v>
      </c>
      <c r="B5" s="32" t="s">
        <v>293</v>
      </c>
    </row>
    <row r="6" spans="1:10" x14ac:dyDescent="0.35">
      <c r="A6" s="32" t="s">
        <v>291</v>
      </c>
      <c r="B6" s="12" t="s">
        <v>240</v>
      </c>
      <c r="C6" s="12" t="s">
        <v>246</v>
      </c>
      <c r="D6" s="12" t="s">
        <v>245</v>
      </c>
      <c r="E6" s="12" t="s">
        <v>287</v>
      </c>
      <c r="F6" s="12" t="s">
        <v>292</v>
      </c>
    </row>
    <row r="7" spans="1:10" x14ac:dyDescent="0.35">
      <c r="A7" s="33" t="s">
        <v>277</v>
      </c>
      <c r="B7" s="34">
        <v>16</v>
      </c>
      <c r="C7" s="34">
        <v>16</v>
      </c>
      <c r="D7" s="34">
        <v>16</v>
      </c>
      <c r="E7" s="34">
        <v>9</v>
      </c>
      <c r="F7" s="34">
        <v>57</v>
      </c>
    </row>
    <row r="8" spans="1:10" x14ac:dyDescent="0.35">
      <c r="A8" s="33" t="s">
        <v>286</v>
      </c>
      <c r="B8" s="34">
        <v>12</v>
      </c>
      <c r="C8" s="34"/>
      <c r="D8" s="34"/>
      <c r="E8" s="34">
        <v>15</v>
      </c>
      <c r="F8" s="34">
        <v>27</v>
      </c>
    </row>
    <row r="9" spans="1:10" x14ac:dyDescent="0.35">
      <c r="A9" s="33" t="s">
        <v>292</v>
      </c>
      <c r="B9" s="34">
        <v>28</v>
      </c>
      <c r="C9" s="34">
        <v>16</v>
      </c>
      <c r="D9" s="34">
        <v>16</v>
      </c>
      <c r="E9" s="34">
        <v>24</v>
      </c>
      <c r="F9" s="34">
        <v>84</v>
      </c>
    </row>
  </sheetData>
  <mergeCells count="1">
    <mergeCell ref="A1:J1"/>
  </mergeCell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portData"/>
  <dimension ref="A1:E78"/>
  <sheetViews>
    <sheetView workbookViewId="0">
      <selection activeCell="A3" sqref="A3"/>
    </sheetView>
  </sheetViews>
  <sheetFormatPr defaultRowHeight="14.5" x14ac:dyDescent="0.35"/>
  <cols>
    <col min="1" max="1" width="9.453125" bestFit="1" customWidth="1"/>
    <col min="2" max="2" width="11.26953125" bestFit="1" customWidth="1"/>
    <col min="3" max="3" width="11.36328125" bestFit="1" customWidth="1"/>
    <col min="4" max="4" width="10.6328125" bestFit="1" customWidth="1"/>
    <col min="5" max="5" width="9.6328125" bestFit="1" customWidth="1"/>
  </cols>
  <sheetData>
    <row r="1" spans="1:5" ht="22.5" x14ac:dyDescent="0.45">
      <c r="A1" s="29" t="s">
        <v>275</v>
      </c>
      <c r="B1" s="29"/>
      <c r="C1" s="29"/>
      <c r="D1" s="29"/>
    </row>
    <row r="2" spans="1:5" ht="17.5" thickBot="1" x14ac:dyDescent="0.45">
      <c r="A2" s="13" t="s">
        <v>224</v>
      </c>
      <c r="B2" s="13" t="s">
        <v>279</v>
      </c>
      <c r="C2" s="13" t="s">
        <v>276</v>
      </c>
      <c r="D2" s="13" t="s">
        <v>278</v>
      </c>
      <c r="E2" s="13" t="s">
        <v>226</v>
      </c>
    </row>
    <row r="3" spans="1:5" ht="15" thickTop="1" x14ac:dyDescent="0.35">
      <c r="A3" s="2">
        <v>41737</v>
      </c>
      <c r="B3" s="30">
        <v>0.33333333333333331</v>
      </c>
      <c r="C3" t="s">
        <v>286</v>
      </c>
      <c r="D3" t="s">
        <v>287</v>
      </c>
      <c r="E3">
        <v>1</v>
      </c>
    </row>
    <row r="4" spans="1:5" x14ac:dyDescent="0.35">
      <c r="A4" s="2">
        <v>41737</v>
      </c>
      <c r="B4" s="30">
        <v>0.375</v>
      </c>
      <c r="C4" s="12" t="s">
        <v>286</v>
      </c>
      <c r="D4" s="12" t="s">
        <v>287</v>
      </c>
      <c r="E4" s="12">
        <v>1</v>
      </c>
    </row>
    <row r="5" spans="1:5" x14ac:dyDescent="0.35">
      <c r="A5" s="2">
        <v>41737</v>
      </c>
      <c r="B5" s="30">
        <v>0.41666666666666702</v>
      </c>
      <c r="C5" s="12" t="s">
        <v>286</v>
      </c>
      <c r="D5" s="12" t="s">
        <v>287</v>
      </c>
      <c r="E5" s="12">
        <v>1</v>
      </c>
    </row>
    <row r="6" spans="1:5" x14ac:dyDescent="0.35">
      <c r="A6" s="2">
        <v>41737</v>
      </c>
      <c r="B6" s="30">
        <v>0.45833333333333298</v>
      </c>
      <c r="C6" s="12" t="s">
        <v>286</v>
      </c>
      <c r="D6" s="12" t="s">
        <v>287</v>
      </c>
      <c r="E6" s="12">
        <v>1</v>
      </c>
    </row>
    <row r="7" spans="1:5" x14ac:dyDescent="0.35">
      <c r="A7" s="2">
        <v>41737</v>
      </c>
      <c r="B7" s="30">
        <v>0.5</v>
      </c>
      <c r="C7" s="12" t="s">
        <v>286</v>
      </c>
      <c r="D7" s="12" t="s">
        <v>287</v>
      </c>
      <c r="E7" s="12">
        <v>1</v>
      </c>
    </row>
    <row r="8" spans="1:5" x14ac:dyDescent="0.35">
      <c r="A8" s="2">
        <v>41737</v>
      </c>
      <c r="B8" s="30">
        <v>0.54166666666666596</v>
      </c>
      <c r="C8" s="12" t="s">
        <v>286</v>
      </c>
      <c r="D8" s="12" t="s">
        <v>287</v>
      </c>
      <c r="E8" s="12">
        <v>1</v>
      </c>
    </row>
    <row r="9" spans="1:5" x14ac:dyDescent="0.35">
      <c r="A9" s="2">
        <v>41737</v>
      </c>
      <c r="B9" s="30">
        <v>0.58333333333333304</v>
      </c>
      <c r="C9" s="12" t="s">
        <v>286</v>
      </c>
      <c r="D9" s="12" t="s">
        <v>287</v>
      </c>
      <c r="E9" s="12">
        <v>1</v>
      </c>
    </row>
    <row r="10" spans="1:5" x14ac:dyDescent="0.35">
      <c r="A10" s="2">
        <v>41737</v>
      </c>
      <c r="B10" s="30">
        <v>0.58333333333333304</v>
      </c>
      <c r="C10" s="12" t="s">
        <v>286</v>
      </c>
      <c r="D10" s="12" t="s">
        <v>287</v>
      </c>
      <c r="E10" s="12">
        <v>1</v>
      </c>
    </row>
    <row r="11" spans="1:5" x14ac:dyDescent="0.35">
      <c r="A11" s="2">
        <v>41737</v>
      </c>
      <c r="B11" s="30">
        <v>0.58333333333333304</v>
      </c>
      <c r="C11" s="12" t="s">
        <v>286</v>
      </c>
      <c r="D11" s="12" t="s">
        <v>287</v>
      </c>
      <c r="E11" s="12">
        <v>1</v>
      </c>
    </row>
    <row r="12" spans="1:5" x14ac:dyDescent="0.35">
      <c r="A12" s="2">
        <v>41737</v>
      </c>
      <c r="B12" s="30">
        <v>0.58333333333333304</v>
      </c>
      <c r="C12" s="12" t="s">
        <v>286</v>
      </c>
      <c r="D12" s="12" t="s">
        <v>287</v>
      </c>
      <c r="E12" s="12">
        <v>1</v>
      </c>
    </row>
    <row r="13" spans="1:5" x14ac:dyDescent="0.35">
      <c r="A13" s="2">
        <v>41737</v>
      </c>
      <c r="B13" s="30">
        <v>0.58333333333333304</v>
      </c>
      <c r="C13" s="12" t="s">
        <v>286</v>
      </c>
      <c r="D13" s="12" t="s">
        <v>287</v>
      </c>
      <c r="E13" s="12">
        <v>1</v>
      </c>
    </row>
    <row r="14" spans="1:5" x14ac:dyDescent="0.35">
      <c r="A14" s="2">
        <v>41738</v>
      </c>
      <c r="B14" s="30">
        <v>0.33333333333333331</v>
      </c>
      <c r="C14" t="s">
        <v>277</v>
      </c>
      <c r="D14" t="s">
        <v>240</v>
      </c>
      <c r="E14">
        <v>1</v>
      </c>
    </row>
    <row r="15" spans="1:5" x14ac:dyDescent="0.35">
      <c r="A15" s="2">
        <v>41738</v>
      </c>
      <c r="B15" s="30">
        <v>0.35416666666666669</v>
      </c>
      <c r="C15" t="s">
        <v>286</v>
      </c>
      <c r="D15" t="s">
        <v>287</v>
      </c>
      <c r="E15">
        <v>1</v>
      </c>
    </row>
    <row r="16" spans="1:5" x14ac:dyDescent="0.35">
      <c r="A16" s="2">
        <v>41738</v>
      </c>
      <c r="B16" s="30">
        <v>0.39583333333333331</v>
      </c>
      <c r="C16" t="s">
        <v>277</v>
      </c>
      <c r="D16" t="s">
        <v>246</v>
      </c>
      <c r="E16">
        <v>1</v>
      </c>
    </row>
    <row r="17" spans="1:5" x14ac:dyDescent="0.35">
      <c r="A17" s="2">
        <v>41738</v>
      </c>
      <c r="B17" s="30">
        <v>0.39583333333333331</v>
      </c>
      <c r="C17" t="s">
        <v>277</v>
      </c>
      <c r="D17" t="s">
        <v>246</v>
      </c>
      <c r="E17">
        <v>1</v>
      </c>
    </row>
    <row r="18" spans="1:5" x14ac:dyDescent="0.35">
      <c r="A18" s="2">
        <v>41738</v>
      </c>
      <c r="B18" s="30">
        <v>0.39583333333333331</v>
      </c>
      <c r="C18" t="s">
        <v>277</v>
      </c>
      <c r="D18" t="s">
        <v>246</v>
      </c>
      <c r="E18">
        <v>1</v>
      </c>
    </row>
    <row r="19" spans="1:5" x14ac:dyDescent="0.35">
      <c r="A19" s="2">
        <v>41738</v>
      </c>
      <c r="B19" s="30">
        <v>0.39583333333333331</v>
      </c>
      <c r="C19" t="s">
        <v>277</v>
      </c>
      <c r="D19" t="s">
        <v>246</v>
      </c>
      <c r="E19">
        <v>1</v>
      </c>
    </row>
    <row r="20" spans="1:5" x14ac:dyDescent="0.35">
      <c r="A20" s="2">
        <v>41738</v>
      </c>
      <c r="B20" s="30">
        <v>0.45833333333333331</v>
      </c>
      <c r="C20" t="s">
        <v>286</v>
      </c>
      <c r="D20" t="s">
        <v>240</v>
      </c>
      <c r="E20">
        <v>1</v>
      </c>
    </row>
    <row r="21" spans="1:5" x14ac:dyDescent="0.35">
      <c r="A21" s="2">
        <v>41738</v>
      </c>
      <c r="B21" s="30">
        <v>0.45833333333333331</v>
      </c>
      <c r="C21" s="12" t="s">
        <v>286</v>
      </c>
      <c r="D21" s="12" t="s">
        <v>240</v>
      </c>
      <c r="E21">
        <v>1</v>
      </c>
    </row>
    <row r="22" spans="1:5" x14ac:dyDescent="0.35">
      <c r="A22" s="2">
        <v>41738</v>
      </c>
      <c r="B22" s="30">
        <v>0.45833333333333331</v>
      </c>
      <c r="C22" s="12" t="s">
        <v>286</v>
      </c>
      <c r="D22" s="12" t="s">
        <v>240</v>
      </c>
      <c r="E22">
        <v>1</v>
      </c>
    </row>
    <row r="23" spans="1:5" x14ac:dyDescent="0.35">
      <c r="A23" s="2">
        <v>41738</v>
      </c>
      <c r="B23" s="30">
        <v>0.5</v>
      </c>
      <c r="C23" t="s">
        <v>277</v>
      </c>
      <c r="D23" t="s">
        <v>245</v>
      </c>
      <c r="E23">
        <v>2</v>
      </c>
    </row>
    <row r="24" spans="1:5" x14ac:dyDescent="0.35">
      <c r="A24" s="2">
        <v>41738</v>
      </c>
      <c r="B24" s="30">
        <v>0.5</v>
      </c>
      <c r="C24" s="12" t="s">
        <v>277</v>
      </c>
      <c r="D24" s="12" t="s">
        <v>245</v>
      </c>
      <c r="E24">
        <v>2</v>
      </c>
    </row>
    <row r="25" spans="1:5" x14ac:dyDescent="0.35">
      <c r="A25" s="2">
        <v>41738</v>
      </c>
      <c r="B25" s="30">
        <v>0.625</v>
      </c>
      <c r="C25" t="s">
        <v>277</v>
      </c>
      <c r="D25" t="s">
        <v>240</v>
      </c>
      <c r="E25">
        <v>1</v>
      </c>
    </row>
    <row r="26" spans="1:5" x14ac:dyDescent="0.35">
      <c r="A26" s="2">
        <v>41738</v>
      </c>
      <c r="B26" s="30">
        <v>0.625</v>
      </c>
      <c r="C26" s="12" t="s">
        <v>277</v>
      </c>
      <c r="D26" s="12" t="s">
        <v>240</v>
      </c>
      <c r="E26">
        <v>1</v>
      </c>
    </row>
    <row r="27" spans="1:5" x14ac:dyDescent="0.35">
      <c r="A27" s="2">
        <v>41738</v>
      </c>
      <c r="B27" s="30">
        <v>0.625</v>
      </c>
      <c r="C27" s="12" t="s">
        <v>277</v>
      </c>
      <c r="D27" s="12" t="s">
        <v>240</v>
      </c>
      <c r="E27">
        <v>1</v>
      </c>
    </row>
    <row r="28" spans="1:5" x14ac:dyDescent="0.35">
      <c r="A28" s="2">
        <v>41739</v>
      </c>
      <c r="B28" s="30">
        <v>0.33333333333333331</v>
      </c>
      <c r="C28" s="12" t="s">
        <v>277</v>
      </c>
      <c r="D28" s="12" t="s">
        <v>240</v>
      </c>
      <c r="E28" s="12">
        <v>1</v>
      </c>
    </row>
    <row r="29" spans="1:5" x14ac:dyDescent="0.35">
      <c r="A29" s="2">
        <v>41739</v>
      </c>
      <c r="B29" s="30">
        <v>0.33333333333333331</v>
      </c>
      <c r="C29" s="12" t="s">
        <v>286</v>
      </c>
      <c r="D29" s="12" t="s">
        <v>287</v>
      </c>
      <c r="E29" s="12">
        <v>1</v>
      </c>
    </row>
    <row r="30" spans="1:5" x14ac:dyDescent="0.35">
      <c r="A30" s="2">
        <v>41739</v>
      </c>
      <c r="B30" s="30">
        <v>0.35416666666666669</v>
      </c>
      <c r="C30" s="12" t="s">
        <v>277</v>
      </c>
      <c r="D30" s="12" t="s">
        <v>246</v>
      </c>
      <c r="E30" s="12">
        <v>1</v>
      </c>
    </row>
    <row r="31" spans="1:5" x14ac:dyDescent="0.35">
      <c r="A31" s="2">
        <v>41739</v>
      </c>
      <c r="B31" s="30">
        <v>0.39583333333333331</v>
      </c>
      <c r="C31" s="12" t="s">
        <v>277</v>
      </c>
      <c r="D31" s="12" t="s">
        <v>246</v>
      </c>
      <c r="E31" s="12">
        <v>1</v>
      </c>
    </row>
    <row r="32" spans="1:5" x14ac:dyDescent="0.35">
      <c r="A32" s="2">
        <v>41739</v>
      </c>
      <c r="B32" s="30">
        <v>0.39583333333333331</v>
      </c>
      <c r="C32" s="12" t="s">
        <v>277</v>
      </c>
      <c r="D32" s="12" t="s">
        <v>246</v>
      </c>
      <c r="E32" s="12">
        <v>1</v>
      </c>
    </row>
    <row r="33" spans="1:5" x14ac:dyDescent="0.35">
      <c r="A33" s="2">
        <v>41739</v>
      </c>
      <c r="B33" s="30">
        <v>0.39583333333333331</v>
      </c>
      <c r="C33" s="12" t="s">
        <v>277</v>
      </c>
      <c r="D33" s="12" t="s">
        <v>246</v>
      </c>
      <c r="E33" s="12">
        <v>1</v>
      </c>
    </row>
    <row r="34" spans="1:5" x14ac:dyDescent="0.35">
      <c r="A34" s="2">
        <v>41739</v>
      </c>
      <c r="B34" s="30">
        <v>0.39583333333333331</v>
      </c>
      <c r="C34" s="12" t="s">
        <v>286</v>
      </c>
      <c r="D34" s="12" t="s">
        <v>240</v>
      </c>
      <c r="E34" s="12">
        <v>1</v>
      </c>
    </row>
    <row r="35" spans="1:5" x14ac:dyDescent="0.35">
      <c r="A35" s="2">
        <v>41739</v>
      </c>
      <c r="B35" s="30">
        <v>0.45833333333333331</v>
      </c>
      <c r="C35" s="12" t="s">
        <v>286</v>
      </c>
      <c r="D35" s="12" t="s">
        <v>240</v>
      </c>
      <c r="E35" s="12">
        <v>1</v>
      </c>
    </row>
    <row r="36" spans="1:5" x14ac:dyDescent="0.35">
      <c r="A36" s="2">
        <v>41739</v>
      </c>
      <c r="B36" s="30">
        <v>0.45833333333333331</v>
      </c>
      <c r="C36" s="12" t="s">
        <v>286</v>
      </c>
      <c r="D36" s="12" t="s">
        <v>240</v>
      </c>
      <c r="E36" s="12">
        <v>1</v>
      </c>
    </row>
    <row r="37" spans="1:5" x14ac:dyDescent="0.35">
      <c r="A37" s="2">
        <v>41739</v>
      </c>
      <c r="B37" s="30">
        <v>0.45833333333333331</v>
      </c>
      <c r="C37" s="12" t="s">
        <v>277</v>
      </c>
      <c r="D37" s="12" t="s">
        <v>245</v>
      </c>
      <c r="E37" s="12">
        <v>2</v>
      </c>
    </row>
    <row r="38" spans="1:5" x14ac:dyDescent="0.35">
      <c r="A38" s="2">
        <v>41739</v>
      </c>
      <c r="B38" s="30">
        <v>0.5</v>
      </c>
      <c r="C38" s="12" t="s">
        <v>277</v>
      </c>
      <c r="D38" s="12" t="s">
        <v>245</v>
      </c>
      <c r="E38" s="12">
        <v>2</v>
      </c>
    </row>
    <row r="39" spans="1:5" x14ac:dyDescent="0.35">
      <c r="A39" s="2">
        <v>41739</v>
      </c>
      <c r="B39" s="30">
        <v>0.5</v>
      </c>
      <c r="C39" s="12" t="s">
        <v>277</v>
      </c>
      <c r="D39" s="12" t="s">
        <v>240</v>
      </c>
      <c r="E39" s="12">
        <v>1</v>
      </c>
    </row>
    <row r="40" spans="1:5" x14ac:dyDescent="0.35">
      <c r="A40" s="2">
        <v>41739</v>
      </c>
      <c r="B40" s="30">
        <v>0.625</v>
      </c>
      <c r="C40" s="12" t="s">
        <v>277</v>
      </c>
      <c r="D40" s="12" t="s">
        <v>240</v>
      </c>
      <c r="E40" s="12">
        <v>1</v>
      </c>
    </row>
    <row r="41" spans="1:5" x14ac:dyDescent="0.35">
      <c r="A41" s="2">
        <v>41739</v>
      </c>
      <c r="B41" s="30">
        <v>0.625</v>
      </c>
      <c r="C41" s="12" t="s">
        <v>277</v>
      </c>
      <c r="D41" s="12" t="s">
        <v>240</v>
      </c>
      <c r="E41" s="12">
        <v>1</v>
      </c>
    </row>
    <row r="42" spans="1:5" x14ac:dyDescent="0.35">
      <c r="A42" s="2">
        <v>41740</v>
      </c>
      <c r="B42" s="30">
        <v>0.33333333333333331</v>
      </c>
      <c r="C42" s="12" t="s">
        <v>277</v>
      </c>
      <c r="D42" s="12" t="s">
        <v>240</v>
      </c>
      <c r="E42" s="12">
        <v>1</v>
      </c>
    </row>
    <row r="43" spans="1:5" x14ac:dyDescent="0.35">
      <c r="A43" s="2">
        <v>41740</v>
      </c>
      <c r="B43" s="30">
        <v>0.33333333333333331</v>
      </c>
      <c r="C43" s="12" t="s">
        <v>286</v>
      </c>
      <c r="D43" s="12" t="s">
        <v>287</v>
      </c>
      <c r="E43" s="12">
        <v>1</v>
      </c>
    </row>
    <row r="44" spans="1:5" x14ac:dyDescent="0.35">
      <c r="A44" s="2">
        <v>41740</v>
      </c>
      <c r="B44" s="30">
        <v>0.35416666666666669</v>
      </c>
      <c r="C44" s="12" t="s">
        <v>277</v>
      </c>
      <c r="D44" s="12" t="s">
        <v>246</v>
      </c>
      <c r="E44" s="12">
        <v>1</v>
      </c>
    </row>
    <row r="45" spans="1:5" x14ac:dyDescent="0.35">
      <c r="A45" s="2">
        <v>41740</v>
      </c>
      <c r="B45" s="30">
        <v>0.39583333333333331</v>
      </c>
      <c r="C45" s="12" t="s">
        <v>277</v>
      </c>
      <c r="D45" s="12" t="s">
        <v>246</v>
      </c>
      <c r="E45" s="12">
        <v>1</v>
      </c>
    </row>
    <row r="46" spans="1:5" x14ac:dyDescent="0.35">
      <c r="A46" s="2">
        <v>41740</v>
      </c>
      <c r="B46" s="30">
        <v>0.39583333333333331</v>
      </c>
      <c r="C46" s="12" t="s">
        <v>277</v>
      </c>
      <c r="D46" s="12" t="s">
        <v>246</v>
      </c>
      <c r="E46" s="12">
        <v>1</v>
      </c>
    </row>
    <row r="47" spans="1:5" x14ac:dyDescent="0.35">
      <c r="A47" s="2">
        <v>41740</v>
      </c>
      <c r="B47" s="30">
        <v>0.39583333333333331</v>
      </c>
      <c r="C47" s="12" t="s">
        <v>277</v>
      </c>
      <c r="D47" s="12" t="s">
        <v>246</v>
      </c>
      <c r="E47" s="12">
        <v>1</v>
      </c>
    </row>
    <row r="48" spans="1:5" x14ac:dyDescent="0.35">
      <c r="A48" s="2">
        <v>41740</v>
      </c>
      <c r="B48" s="30">
        <v>0.39583333333333331</v>
      </c>
      <c r="C48" s="12" t="s">
        <v>286</v>
      </c>
      <c r="D48" s="12" t="s">
        <v>240</v>
      </c>
      <c r="E48" s="12">
        <v>1</v>
      </c>
    </row>
    <row r="49" spans="1:5" x14ac:dyDescent="0.35">
      <c r="A49" s="2">
        <v>41740</v>
      </c>
      <c r="B49" s="30">
        <v>0.45833333333333331</v>
      </c>
      <c r="C49" s="12" t="s">
        <v>286</v>
      </c>
      <c r="D49" s="12" t="s">
        <v>240</v>
      </c>
      <c r="E49" s="12">
        <v>1</v>
      </c>
    </row>
    <row r="50" spans="1:5" x14ac:dyDescent="0.35">
      <c r="A50" s="2">
        <v>41740</v>
      </c>
      <c r="B50" s="30">
        <v>0.45833333333333331</v>
      </c>
      <c r="C50" s="12" t="s">
        <v>286</v>
      </c>
      <c r="D50" s="12" t="s">
        <v>240</v>
      </c>
      <c r="E50" s="12">
        <v>1</v>
      </c>
    </row>
    <row r="51" spans="1:5" x14ac:dyDescent="0.35">
      <c r="A51" s="2">
        <v>41740</v>
      </c>
      <c r="B51" s="30">
        <v>0.45833333333333331</v>
      </c>
      <c r="C51" s="12" t="s">
        <v>277</v>
      </c>
      <c r="D51" s="12" t="s">
        <v>245</v>
      </c>
      <c r="E51" s="12">
        <v>2</v>
      </c>
    </row>
    <row r="52" spans="1:5" x14ac:dyDescent="0.35">
      <c r="A52" s="2">
        <v>41740</v>
      </c>
      <c r="B52" s="30">
        <v>0.5</v>
      </c>
      <c r="C52" s="12" t="s">
        <v>277</v>
      </c>
      <c r="D52" s="12" t="s">
        <v>245</v>
      </c>
      <c r="E52" s="12">
        <v>2</v>
      </c>
    </row>
    <row r="53" spans="1:5" x14ac:dyDescent="0.35">
      <c r="A53" s="2">
        <v>41740</v>
      </c>
      <c r="B53" s="30">
        <v>0.5</v>
      </c>
      <c r="C53" s="12" t="s">
        <v>277</v>
      </c>
      <c r="D53" s="12" t="s">
        <v>240</v>
      </c>
      <c r="E53" s="12">
        <v>1</v>
      </c>
    </row>
    <row r="54" spans="1:5" x14ac:dyDescent="0.35">
      <c r="A54" s="2">
        <v>41740</v>
      </c>
      <c r="B54" s="30">
        <v>0.625</v>
      </c>
      <c r="C54" s="12" t="s">
        <v>277</v>
      </c>
      <c r="D54" s="12" t="s">
        <v>240</v>
      </c>
      <c r="E54" s="12">
        <v>1</v>
      </c>
    </row>
    <row r="55" spans="1:5" x14ac:dyDescent="0.35">
      <c r="A55" s="2">
        <v>41740</v>
      </c>
      <c r="B55" s="30">
        <v>0.625</v>
      </c>
      <c r="C55" s="12" t="s">
        <v>277</v>
      </c>
      <c r="D55" s="12" t="s">
        <v>240</v>
      </c>
      <c r="E55" s="12">
        <v>1</v>
      </c>
    </row>
    <row r="56" spans="1:5" x14ac:dyDescent="0.35">
      <c r="A56" s="2">
        <v>41743</v>
      </c>
      <c r="B56" s="30">
        <v>0.33333333333333331</v>
      </c>
      <c r="C56" s="12" t="s">
        <v>277</v>
      </c>
      <c r="D56" s="12" t="s">
        <v>240</v>
      </c>
      <c r="E56" s="12">
        <v>1</v>
      </c>
    </row>
    <row r="57" spans="1:5" x14ac:dyDescent="0.35">
      <c r="A57" s="2">
        <v>41743</v>
      </c>
      <c r="B57" s="30">
        <v>0.33333333333333331</v>
      </c>
      <c r="C57" s="12" t="s">
        <v>286</v>
      </c>
      <c r="D57" s="12" t="s">
        <v>287</v>
      </c>
      <c r="E57" s="12">
        <v>1</v>
      </c>
    </row>
    <row r="58" spans="1:5" x14ac:dyDescent="0.35">
      <c r="A58" s="2">
        <v>41743</v>
      </c>
      <c r="B58" s="30">
        <v>0.35416666666666669</v>
      </c>
      <c r="C58" s="12" t="s">
        <v>277</v>
      </c>
      <c r="D58" s="12" t="s">
        <v>246</v>
      </c>
      <c r="E58" s="12">
        <v>1</v>
      </c>
    </row>
    <row r="59" spans="1:5" x14ac:dyDescent="0.35">
      <c r="A59" s="2">
        <v>41743</v>
      </c>
      <c r="B59" s="30">
        <v>0.39583333333333331</v>
      </c>
      <c r="C59" s="12" t="s">
        <v>277</v>
      </c>
      <c r="D59" s="12" t="s">
        <v>246</v>
      </c>
      <c r="E59" s="12">
        <v>1</v>
      </c>
    </row>
    <row r="60" spans="1:5" s="12" customFormat="1" x14ac:dyDescent="0.35">
      <c r="A60" s="2">
        <v>41743</v>
      </c>
      <c r="B60" s="30">
        <v>0.39583333333333331</v>
      </c>
      <c r="C60" s="12" t="s">
        <v>277</v>
      </c>
      <c r="D60" s="12" t="s">
        <v>246</v>
      </c>
      <c r="E60" s="12">
        <v>1</v>
      </c>
    </row>
    <row r="61" spans="1:5" x14ac:dyDescent="0.35">
      <c r="A61" s="2">
        <v>41743</v>
      </c>
      <c r="B61" s="30">
        <v>0.39583333333333331</v>
      </c>
      <c r="C61" s="12" t="s">
        <v>277</v>
      </c>
      <c r="D61" s="12" t="s">
        <v>246</v>
      </c>
      <c r="E61" s="12">
        <v>1</v>
      </c>
    </row>
    <row r="62" spans="1:5" x14ac:dyDescent="0.35">
      <c r="A62" s="2">
        <v>41743</v>
      </c>
      <c r="B62" s="30">
        <v>0.39583333333333331</v>
      </c>
      <c r="C62" s="12" t="s">
        <v>286</v>
      </c>
      <c r="D62" s="12" t="s">
        <v>240</v>
      </c>
      <c r="E62" s="12">
        <v>1</v>
      </c>
    </row>
    <row r="63" spans="1:5" x14ac:dyDescent="0.35">
      <c r="A63" s="2">
        <v>41743</v>
      </c>
      <c r="B63" s="30">
        <v>0.45833333333333331</v>
      </c>
      <c r="C63" s="12" t="s">
        <v>286</v>
      </c>
      <c r="D63" s="12" t="s">
        <v>240</v>
      </c>
      <c r="E63" s="12">
        <v>1</v>
      </c>
    </row>
    <row r="64" spans="1:5" x14ac:dyDescent="0.35">
      <c r="A64" s="2">
        <v>41743</v>
      </c>
      <c r="B64" s="30">
        <v>0.45833333333333331</v>
      </c>
      <c r="C64" s="12" t="s">
        <v>286</v>
      </c>
      <c r="D64" s="12" t="s">
        <v>240</v>
      </c>
      <c r="E64" s="12">
        <v>1</v>
      </c>
    </row>
    <row r="65" spans="1:5" x14ac:dyDescent="0.35">
      <c r="A65" s="2">
        <v>41743</v>
      </c>
      <c r="B65" s="30">
        <v>0.45833333333333331</v>
      </c>
      <c r="C65" s="12" t="s">
        <v>277</v>
      </c>
      <c r="D65" s="12" t="s">
        <v>245</v>
      </c>
      <c r="E65" s="12">
        <v>2</v>
      </c>
    </row>
    <row r="66" spans="1:5" x14ac:dyDescent="0.35">
      <c r="A66" s="2">
        <v>41743</v>
      </c>
      <c r="B66" s="30">
        <v>0.5</v>
      </c>
      <c r="C66" s="12" t="s">
        <v>277</v>
      </c>
      <c r="D66" s="12" t="s">
        <v>245</v>
      </c>
      <c r="E66" s="12">
        <v>2</v>
      </c>
    </row>
    <row r="67" spans="1:5" x14ac:dyDescent="0.35">
      <c r="A67" s="2">
        <v>41743</v>
      </c>
      <c r="B67" s="30">
        <v>0.5</v>
      </c>
      <c r="C67" s="12" t="s">
        <v>277</v>
      </c>
      <c r="D67" s="12" t="s">
        <v>240</v>
      </c>
      <c r="E67" s="12">
        <v>1</v>
      </c>
    </row>
    <row r="68" spans="1:5" x14ac:dyDescent="0.35">
      <c r="A68" s="2">
        <v>41743</v>
      </c>
      <c r="B68" s="30">
        <v>0.625</v>
      </c>
      <c r="C68" s="12" t="s">
        <v>277</v>
      </c>
      <c r="D68" s="12" t="s">
        <v>240</v>
      </c>
      <c r="E68" s="12">
        <v>1</v>
      </c>
    </row>
    <row r="69" spans="1:5" x14ac:dyDescent="0.35">
      <c r="A69" s="2">
        <v>41743</v>
      </c>
      <c r="B69" s="30">
        <v>0.625</v>
      </c>
      <c r="C69" s="12" t="s">
        <v>277</v>
      </c>
      <c r="D69" s="12" t="s">
        <v>240</v>
      </c>
      <c r="E69" s="12">
        <v>1</v>
      </c>
    </row>
    <row r="70" spans="1:5" x14ac:dyDescent="0.35">
      <c r="A70" s="2">
        <v>41743</v>
      </c>
      <c r="B70" s="30">
        <v>0.94146990740740744</v>
      </c>
      <c r="C70" s="12" t="s">
        <v>277</v>
      </c>
      <c r="D70" s="12" t="s">
        <v>287</v>
      </c>
      <c r="E70" s="12">
        <v>2</v>
      </c>
    </row>
    <row r="71" spans="1:5" x14ac:dyDescent="0.35">
      <c r="A71" s="2">
        <v>41743</v>
      </c>
      <c r="B71" s="30">
        <v>0.94146990740740744</v>
      </c>
      <c r="C71" t="s">
        <v>277</v>
      </c>
      <c r="D71" t="s">
        <v>287</v>
      </c>
      <c r="E71">
        <v>2</v>
      </c>
    </row>
    <row r="72" spans="1:5" x14ac:dyDescent="0.35">
      <c r="A72" s="2">
        <v>41743</v>
      </c>
      <c r="B72" s="30">
        <v>0.93607638888888889</v>
      </c>
      <c r="C72" t="s">
        <v>277</v>
      </c>
      <c r="D72" t="s">
        <v>287</v>
      </c>
      <c r="E72">
        <v>5</v>
      </c>
    </row>
    <row r="73" spans="1:5" x14ac:dyDescent="0.35">
      <c r="A73" s="2">
        <v>41743</v>
      </c>
      <c r="B73" s="30">
        <v>0.95839120370370379</v>
      </c>
      <c r="C73" t="s">
        <v>286</v>
      </c>
      <c r="D73" t="s">
        <v>240</v>
      </c>
      <c r="E73">
        <v>2</v>
      </c>
    </row>
    <row r="74" spans="1:5" x14ac:dyDescent="0.35">
      <c r="A74" s="2">
        <v>41743</v>
      </c>
      <c r="B74" s="30">
        <v>0.9585069444444444</v>
      </c>
      <c r="C74" t="s">
        <v>277</v>
      </c>
      <c r="D74" t="s">
        <v>240</v>
      </c>
      <c r="E74">
        <v>5</v>
      </c>
    </row>
    <row r="75" spans="1:5" x14ac:dyDescent="0.35">
      <c r="A75" s="2">
        <v>41743</v>
      </c>
      <c r="B75" s="30">
        <v>0.95861111111111119</v>
      </c>
      <c r="C75" t="s">
        <v>286</v>
      </c>
      <c r="D75" t="s">
        <v>240</v>
      </c>
      <c r="E75">
        <v>2</v>
      </c>
    </row>
    <row r="76" spans="1:5" x14ac:dyDescent="0.35">
      <c r="A76" s="2">
        <v>41743</v>
      </c>
      <c r="B76" s="30">
        <v>0.95892361111111113</v>
      </c>
      <c r="C76" t="s">
        <v>286</v>
      </c>
      <c r="D76" t="s">
        <v>240</v>
      </c>
      <c r="E76">
        <v>2</v>
      </c>
    </row>
    <row r="77" spans="1:5" x14ac:dyDescent="0.35">
      <c r="A77" s="2">
        <v>41743</v>
      </c>
      <c r="B77" s="30">
        <v>0.95903935185185185</v>
      </c>
      <c r="C77" t="s">
        <v>286</v>
      </c>
      <c r="D77" t="s">
        <v>240</v>
      </c>
      <c r="E77">
        <v>2</v>
      </c>
    </row>
    <row r="78" spans="1:5" x14ac:dyDescent="0.35">
      <c r="A78" s="2">
        <v>41743</v>
      </c>
      <c r="B78" s="30">
        <v>0.96215277777777775</v>
      </c>
      <c r="C78" t="s">
        <v>286</v>
      </c>
      <c r="D78" t="s">
        <v>287</v>
      </c>
      <c r="E78">
        <v>2</v>
      </c>
    </row>
  </sheetData>
  <mergeCells count="1">
    <mergeCell ref="A1:D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nagers"/>
  <dimension ref="A1:A3"/>
  <sheetViews>
    <sheetView workbookViewId="0"/>
  </sheetViews>
  <sheetFormatPr defaultRowHeight="14.5" x14ac:dyDescent="0.35"/>
  <cols>
    <col min="1" max="1" width="12.36328125" bestFit="1" customWidth="1"/>
  </cols>
  <sheetData>
    <row r="1" spans="1:1" x14ac:dyDescent="0.35">
      <c r="A1" t="s">
        <v>250</v>
      </c>
    </row>
    <row r="2" spans="1:1" x14ac:dyDescent="0.35">
      <c r="A2" t="s">
        <v>251</v>
      </c>
    </row>
    <row r="3" spans="1:1" x14ac:dyDescent="0.35">
      <c r="A3" t="s">
        <v>252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71"/>
  <sheetViews>
    <sheetView workbookViewId="0">
      <selection activeCell="N13" sqref="N13"/>
    </sheetView>
  </sheetViews>
  <sheetFormatPr defaultRowHeight="14.5" x14ac:dyDescent="0.35"/>
  <sheetData>
    <row r="1" spans="1:12" x14ac:dyDescent="0.35">
      <c r="A1" s="12" t="s">
        <v>245</v>
      </c>
      <c r="B1" s="12" t="s">
        <v>15</v>
      </c>
      <c r="C1" s="12" t="s">
        <v>16</v>
      </c>
      <c r="D1" s="12" t="s">
        <v>17</v>
      </c>
      <c r="E1" s="12">
        <v>138</v>
      </c>
      <c r="F1" s="12">
        <v>68</v>
      </c>
      <c r="G1" s="12">
        <v>14</v>
      </c>
      <c r="H1" s="12">
        <v>56</v>
      </c>
      <c r="I1" s="12">
        <f t="shared" ref="I1:I33" si="0">SUM(F1:H1)</f>
        <v>138</v>
      </c>
      <c r="J1" s="12">
        <v>2</v>
      </c>
      <c r="K1" s="12">
        <v>128</v>
      </c>
      <c r="L1" s="12">
        <f>'Control Center'!$B$19*'Master Inventory'!J1</f>
        <v>0</v>
      </c>
    </row>
    <row r="2" spans="1:12" x14ac:dyDescent="0.35">
      <c r="A2" s="12" t="s">
        <v>245</v>
      </c>
      <c r="B2" s="12" t="s">
        <v>18</v>
      </c>
      <c r="C2" s="12" t="s">
        <v>19</v>
      </c>
      <c r="D2" s="12" t="s">
        <v>20</v>
      </c>
      <c r="E2" s="12">
        <v>459</v>
      </c>
      <c r="F2" s="12">
        <v>179</v>
      </c>
      <c r="G2" s="12">
        <v>56</v>
      </c>
      <c r="H2" s="12">
        <v>224</v>
      </c>
      <c r="I2" s="12">
        <f t="shared" si="0"/>
        <v>459</v>
      </c>
      <c r="J2" s="12">
        <v>8</v>
      </c>
      <c r="K2" s="12">
        <v>512</v>
      </c>
      <c r="L2" s="12">
        <f>'Control Center'!$B$19*'Master Inventory'!J2</f>
        <v>0</v>
      </c>
    </row>
    <row r="3" spans="1:12" x14ac:dyDescent="0.35">
      <c r="A3" s="12" t="s">
        <v>245</v>
      </c>
      <c r="B3" s="12" t="s">
        <v>21</v>
      </c>
      <c r="C3" s="12" t="s">
        <v>22</v>
      </c>
      <c r="D3" s="12" t="s">
        <v>23</v>
      </c>
      <c r="E3" s="12">
        <v>153</v>
      </c>
      <c r="F3" s="12">
        <v>73</v>
      </c>
      <c r="G3" s="12">
        <v>14</v>
      </c>
      <c r="H3" s="12">
        <v>56</v>
      </c>
      <c r="I3" s="12">
        <f t="shared" si="0"/>
        <v>143</v>
      </c>
      <c r="J3" s="12">
        <v>2</v>
      </c>
      <c r="K3" s="12">
        <v>128</v>
      </c>
      <c r="L3" s="12">
        <f>'Control Center'!$B$19*'Master Inventory'!J3</f>
        <v>0</v>
      </c>
    </row>
    <row r="4" spans="1:12" x14ac:dyDescent="0.35">
      <c r="A4" s="12" t="s">
        <v>245</v>
      </c>
      <c r="B4" s="12" t="s">
        <v>24</v>
      </c>
      <c r="C4" s="12" t="s">
        <v>25</v>
      </c>
      <c r="D4" s="12" t="s">
        <v>26</v>
      </c>
      <c r="E4" s="12">
        <v>67</v>
      </c>
      <c r="F4" s="12">
        <v>22</v>
      </c>
      <c r="G4" s="12">
        <v>7</v>
      </c>
      <c r="H4" s="12">
        <v>28</v>
      </c>
      <c r="I4" s="12">
        <f t="shared" si="0"/>
        <v>57</v>
      </c>
      <c r="J4" s="12">
        <v>1</v>
      </c>
      <c r="K4" s="12">
        <v>64</v>
      </c>
      <c r="L4" s="12">
        <f>'Control Center'!$B$19*'Master Inventory'!J4</f>
        <v>0</v>
      </c>
    </row>
    <row r="5" spans="1:12" x14ac:dyDescent="0.35">
      <c r="A5" s="12" t="s">
        <v>245</v>
      </c>
      <c r="B5" s="12" t="s">
        <v>27</v>
      </c>
      <c r="C5" s="12" t="s">
        <v>28</v>
      </c>
      <c r="D5" s="12" t="s">
        <v>29</v>
      </c>
      <c r="E5" s="12">
        <v>559</v>
      </c>
      <c r="F5" s="12">
        <v>279</v>
      </c>
      <c r="G5" s="12">
        <v>56</v>
      </c>
      <c r="H5" s="12">
        <v>224</v>
      </c>
      <c r="I5" s="12">
        <f t="shared" si="0"/>
        <v>559</v>
      </c>
      <c r="J5" s="12">
        <v>8</v>
      </c>
      <c r="K5" s="12">
        <v>512</v>
      </c>
      <c r="L5" s="12" t="e">
        <f>'Control Center'!$B$19*'Master Inventory'!J5</f>
        <v>#VALUE!</v>
      </c>
    </row>
    <row r="6" spans="1:12" x14ac:dyDescent="0.35">
      <c r="A6" s="12" t="s">
        <v>245</v>
      </c>
      <c r="B6" s="12" t="s">
        <v>30</v>
      </c>
      <c r="C6" s="12" t="s">
        <v>31</v>
      </c>
      <c r="D6" s="12" t="s">
        <v>32</v>
      </c>
      <c r="E6" s="12">
        <v>524</v>
      </c>
      <c r="F6" s="12">
        <v>244</v>
      </c>
      <c r="G6" s="12">
        <v>56</v>
      </c>
      <c r="H6" s="12">
        <v>224</v>
      </c>
      <c r="I6" s="12">
        <f t="shared" si="0"/>
        <v>524</v>
      </c>
      <c r="J6" s="12">
        <v>8</v>
      </c>
      <c r="K6" s="12">
        <v>512</v>
      </c>
      <c r="L6" s="12">
        <f>'Control Center'!$B$19*'Master Inventory'!J6</f>
        <v>40</v>
      </c>
    </row>
    <row r="7" spans="1:12" x14ac:dyDescent="0.35">
      <c r="A7" s="12" t="s">
        <v>245</v>
      </c>
      <c r="B7" s="12" t="s">
        <v>33</v>
      </c>
      <c r="C7" s="12" t="s">
        <v>34</v>
      </c>
      <c r="D7" s="12" t="s">
        <v>35</v>
      </c>
      <c r="E7" s="12">
        <v>77</v>
      </c>
      <c r="F7" s="12">
        <v>42</v>
      </c>
      <c r="G7" s="12">
        <v>7</v>
      </c>
      <c r="H7" s="12">
        <v>28</v>
      </c>
      <c r="I7" s="12">
        <f t="shared" si="0"/>
        <v>77</v>
      </c>
      <c r="J7" s="12">
        <v>1</v>
      </c>
      <c r="K7" s="12">
        <v>64</v>
      </c>
      <c r="L7" s="12">
        <f>'Control Center'!$B$19*'Master Inventory'!J7</f>
        <v>160</v>
      </c>
    </row>
    <row r="8" spans="1:12" x14ac:dyDescent="0.35">
      <c r="A8" s="12" t="s">
        <v>245</v>
      </c>
      <c r="B8" s="12" t="s">
        <v>36</v>
      </c>
      <c r="C8" s="12" t="s">
        <v>37</v>
      </c>
      <c r="D8" s="12" t="s">
        <v>38</v>
      </c>
      <c r="E8" s="12">
        <v>259</v>
      </c>
      <c r="F8" s="12">
        <v>151</v>
      </c>
      <c r="G8" s="12">
        <v>100</v>
      </c>
      <c r="H8" s="12">
        <v>8</v>
      </c>
      <c r="I8" s="12">
        <f t="shared" si="0"/>
        <v>259</v>
      </c>
      <c r="J8" s="12">
        <v>4</v>
      </c>
      <c r="K8" s="12">
        <v>256</v>
      </c>
      <c r="L8" s="12">
        <f>'Control Center'!$B$19*'Master Inventory'!J8</f>
        <v>40</v>
      </c>
    </row>
    <row r="9" spans="1:12" x14ac:dyDescent="0.35">
      <c r="A9" s="12" t="s">
        <v>245</v>
      </c>
      <c r="B9" s="12" t="s">
        <v>39</v>
      </c>
      <c r="C9" s="12" t="s">
        <v>40</v>
      </c>
      <c r="D9" s="12" t="s">
        <v>41</v>
      </c>
      <c r="E9" s="12">
        <v>373</v>
      </c>
      <c r="F9" s="12">
        <v>265</v>
      </c>
      <c r="G9" s="12">
        <v>100</v>
      </c>
      <c r="H9" s="12">
        <v>8</v>
      </c>
      <c r="I9" s="12">
        <f t="shared" si="0"/>
        <v>373</v>
      </c>
      <c r="J9" s="12">
        <v>4</v>
      </c>
      <c r="K9" s="12">
        <v>256</v>
      </c>
      <c r="L9" s="12">
        <f>'Control Center'!$B$19*'Master Inventory'!J9</f>
        <v>20</v>
      </c>
    </row>
    <row r="10" spans="1:12" x14ac:dyDescent="0.35">
      <c r="A10" s="12" t="s">
        <v>245</v>
      </c>
      <c r="B10" s="12" t="s">
        <v>45</v>
      </c>
      <c r="C10" s="12" t="s">
        <v>46</v>
      </c>
      <c r="D10" s="12" t="s">
        <v>47</v>
      </c>
      <c r="E10" s="12">
        <v>188</v>
      </c>
      <c r="F10" s="12">
        <v>80</v>
      </c>
      <c r="G10" s="12">
        <v>100</v>
      </c>
      <c r="H10" s="12">
        <v>8</v>
      </c>
      <c r="I10" s="12">
        <f t="shared" si="0"/>
        <v>188</v>
      </c>
      <c r="J10" s="12">
        <v>4</v>
      </c>
      <c r="K10" s="12">
        <v>256</v>
      </c>
      <c r="L10" s="12">
        <f>'Control Center'!$B$19*'Master Inventory'!J10</f>
        <v>160</v>
      </c>
    </row>
    <row r="11" spans="1:12" x14ac:dyDescent="0.35">
      <c r="A11" s="12" t="s">
        <v>245</v>
      </c>
      <c r="B11" s="12" t="s">
        <v>48</v>
      </c>
      <c r="C11" s="12" t="s">
        <v>49</v>
      </c>
      <c r="D11" s="12" t="s">
        <v>50</v>
      </c>
      <c r="E11" s="12">
        <v>94</v>
      </c>
      <c r="F11" s="12">
        <v>40</v>
      </c>
      <c r="G11" s="12">
        <v>50</v>
      </c>
      <c r="H11" s="12">
        <v>4</v>
      </c>
      <c r="I11" s="12">
        <f t="shared" si="0"/>
        <v>94</v>
      </c>
      <c r="J11" s="12">
        <v>2</v>
      </c>
      <c r="K11" s="12">
        <v>128</v>
      </c>
      <c r="L11" s="12">
        <f>'Control Center'!$B$19*'Master Inventory'!J11</f>
        <v>160</v>
      </c>
    </row>
    <row r="12" spans="1:12" x14ac:dyDescent="0.35">
      <c r="A12" s="12" t="s">
        <v>245</v>
      </c>
      <c r="B12" s="12" t="s">
        <v>51</v>
      </c>
      <c r="C12" s="12" t="s">
        <v>52</v>
      </c>
      <c r="D12" s="12" t="s">
        <v>53</v>
      </c>
      <c r="E12" s="12">
        <v>556</v>
      </c>
      <c r="F12" s="12">
        <v>394</v>
      </c>
      <c r="G12" s="12">
        <v>150</v>
      </c>
      <c r="H12" s="12">
        <v>12</v>
      </c>
      <c r="I12" s="12">
        <f t="shared" si="0"/>
        <v>556</v>
      </c>
      <c r="J12" s="12">
        <v>6</v>
      </c>
      <c r="K12" s="12">
        <v>384</v>
      </c>
      <c r="L12" s="12">
        <f>'Control Center'!$B$19*'Master Inventory'!J12</f>
        <v>20</v>
      </c>
    </row>
    <row r="13" spans="1:12" x14ac:dyDescent="0.35">
      <c r="A13" s="12" t="s">
        <v>245</v>
      </c>
      <c r="B13" s="12" t="s">
        <v>54</v>
      </c>
      <c r="C13" s="12" t="s">
        <v>55</v>
      </c>
      <c r="D13" s="12" t="s">
        <v>56</v>
      </c>
      <c r="E13" s="12">
        <v>658</v>
      </c>
      <c r="F13" s="12">
        <v>415</v>
      </c>
      <c r="G13" s="12">
        <v>225</v>
      </c>
      <c r="H13" s="12">
        <v>18</v>
      </c>
      <c r="I13" s="12">
        <f t="shared" si="0"/>
        <v>658</v>
      </c>
      <c r="J13" s="12">
        <v>9</v>
      </c>
      <c r="K13" s="12">
        <v>576</v>
      </c>
      <c r="L13" s="12">
        <f>'Control Center'!$B$19*'Master Inventory'!J13</f>
        <v>80</v>
      </c>
    </row>
    <row r="14" spans="1:12" x14ac:dyDescent="0.35">
      <c r="A14" s="12" t="s">
        <v>245</v>
      </c>
      <c r="B14" s="12" t="s">
        <v>57</v>
      </c>
      <c r="C14" s="12" t="s">
        <v>58</v>
      </c>
      <c r="D14" s="12" t="s">
        <v>59</v>
      </c>
      <c r="E14" s="12">
        <v>67</v>
      </c>
      <c r="F14" s="12">
        <v>40</v>
      </c>
      <c r="G14" s="12">
        <v>25</v>
      </c>
      <c r="H14" s="12">
        <v>2</v>
      </c>
      <c r="I14" s="12">
        <f t="shared" si="0"/>
        <v>67</v>
      </c>
      <c r="J14" s="12">
        <v>1</v>
      </c>
      <c r="K14" s="12">
        <v>64</v>
      </c>
      <c r="L14" s="12">
        <f>'Control Center'!$B$19*'Master Inventory'!J14</f>
        <v>80</v>
      </c>
    </row>
    <row r="15" spans="1:12" x14ac:dyDescent="0.35">
      <c r="A15" s="12" t="s">
        <v>245</v>
      </c>
      <c r="B15" s="12" t="s">
        <v>60</v>
      </c>
      <c r="C15" s="12" t="s">
        <v>61</v>
      </c>
      <c r="D15" s="12" t="s">
        <v>62</v>
      </c>
      <c r="E15" s="12">
        <v>136</v>
      </c>
      <c r="F15" s="12">
        <v>82</v>
      </c>
      <c r="G15" s="12">
        <v>50</v>
      </c>
      <c r="H15" s="12">
        <v>4</v>
      </c>
      <c r="I15" s="12">
        <f t="shared" si="0"/>
        <v>136</v>
      </c>
      <c r="J15" s="12">
        <v>2</v>
      </c>
      <c r="K15" s="12">
        <v>128</v>
      </c>
      <c r="L15" s="12">
        <f>'Control Center'!$B$19*'Master Inventory'!J15</f>
        <v>80</v>
      </c>
    </row>
    <row r="16" spans="1:12" x14ac:dyDescent="0.35">
      <c r="A16" s="12" t="s">
        <v>245</v>
      </c>
      <c r="B16" s="12" t="s">
        <v>63</v>
      </c>
      <c r="C16" s="12" t="s">
        <v>64</v>
      </c>
      <c r="D16" s="12" t="s">
        <v>65</v>
      </c>
      <c r="E16" s="12">
        <v>173</v>
      </c>
      <c r="F16" s="12">
        <v>119</v>
      </c>
      <c r="G16" s="12">
        <v>50</v>
      </c>
      <c r="H16" s="12">
        <v>4</v>
      </c>
      <c r="I16" s="12">
        <f t="shared" si="0"/>
        <v>173</v>
      </c>
      <c r="J16" s="12">
        <v>2</v>
      </c>
      <c r="K16" s="12">
        <v>128</v>
      </c>
      <c r="L16" s="12">
        <f>'Control Center'!$B$19*'Master Inventory'!J16</f>
        <v>40</v>
      </c>
    </row>
    <row r="17" spans="1:12" x14ac:dyDescent="0.35">
      <c r="A17" s="12" t="s">
        <v>245</v>
      </c>
      <c r="B17" s="12" t="s">
        <v>66</v>
      </c>
      <c r="C17" s="12" t="s">
        <v>67</v>
      </c>
      <c r="D17" s="12" t="s">
        <v>68</v>
      </c>
      <c r="E17" s="12">
        <v>455</v>
      </c>
      <c r="F17" s="12">
        <v>293</v>
      </c>
      <c r="G17" s="12">
        <v>150</v>
      </c>
      <c r="H17" s="12">
        <v>12</v>
      </c>
      <c r="I17" s="12">
        <f t="shared" si="0"/>
        <v>455</v>
      </c>
      <c r="J17" s="12">
        <v>6</v>
      </c>
      <c r="K17" s="12">
        <v>384</v>
      </c>
      <c r="L17" s="12">
        <f>'Control Center'!$B$19*'Master Inventory'!J17</f>
        <v>120</v>
      </c>
    </row>
    <row r="18" spans="1:12" x14ac:dyDescent="0.35">
      <c r="A18" s="12" t="s">
        <v>245</v>
      </c>
      <c r="B18" s="12" t="s">
        <v>69</v>
      </c>
      <c r="C18" s="12" t="s">
        <v>70</v>
      </c>
      <c r="D18" s="12" t="s">
        <v>71</v>
      </c>
      <c r="E18" s="12">
        <v>225</v>
      </c>
      <c r="F18" s="12">
        <v>117</v>
      </c>
      <c r="G18" s="12">
        <v>100</v>
      </c>
      <c r="H18" s="12">
        <v>8</v>
      </c>
      <c r="I18" s="12">
        <f t="shared" si="0"/>
        <v>225</v>
      </c>
      <c r="J18" s="12">
        <v>4</v>
      </c>
      <c r="K18" s="12">
        <v>256</v>
      </c>
      <c r="L18" s="12">
        <f>'Control Center'!$B$19*'Master Inventory'!J18</f>
        <v>180</v>
      </c>
    </row>
    <row r="19" spans="1:12" x14ac:dyDescent="0.35">
      <c r="A19" s="12" t="s">
        <v>245</v>
      </c>
      <c r="B19" s="12" t="s">
        <v>72</v>
      </c>
      <c r="C19" s="12" t="s">
        <v>73</v>
      </c>
      <c r="D19" s="12" t="s">
        <v>241</v>
      </c>
      <c r="E19" s="12">
        <v>200</v>
      </c>
      <c r="F19" s="12">
        <v>200</v>
      </c>
      <c r="G19" s="12">
        <v>0</v>
      </c>
      <c r="H19" s="12">
        <v>0</v>
      </c>
      <c r="I19" s="12">
        <f t="shared" si="0"/>
        <v>200</v>
      </c>
      <c r="J19" s="12">
        <v>2</v>
      </c>
      <c r="K19" s="12">
        <v>0</v>
      </c>
      <c r="L19" s="12">
        <f>'Control Center'!$B$19*'Master Inventory'!J19</f>
        <v>20</v>
      </c>
    </row>
    <row r="20" spans="1:12" x14ac:dyDescent="0.35">
      <c r="A20" s="12" t="s">
        <v>245</v>
      </c>
      <c r="B20" s="12" t="s">
        <v>75</v>
      </c>
      <c r="C20" s="12" t="s">
        <v>76</v>
      </c>
      <c r="D20" s="12" t="s">
        <v>77</v>
      </c>
      <c r="E20" s="12">
        <v>268</v>
      </c>
      <c r="F20" s="12">
        <v>160</v>
      </c>
      <c r="G20" s="12">
        <v>100</v>
      </c>
      <c r="H20" s="12">
        <v>8</v>
      </c>
      <c r="I20" s="12">
        <f t="shared" si="0"/>
        <v>268</v>
      </c>
      <c r="J20" s="12">
        <v>4</v>
      </c>
      <c r="K20" s="12">
        <v>256</v>
      </c>
      <c r="L20" s="12">
        <f>'Control Center'!$B$19*'Master Inventory'!J20</f>
        <v>40</v>
      </c>
    </row>
    <row r="21" spans="1:12" x14ac:dyDescent="0.35">
      <c r="A21" s="12" t="s">
        <v>245</v>
      </c>
      <c r="B21" s="12" t="s">
        <v>78</v>
      </c>
      <c r="C21" s="12" t="s">
        <v>79</v>
      </c>
      <c r="D21" s="12" t="s">
        <v>80</v>
      </c>
      <c r="E21" s="12">
        <v>90</v>
      </c>
      <c r="F21" s="12">
        <v>36</v>
      </c>
      <c r="G21" s="12">
        <v>50</v>
      </c>
      <c r="H21" s="12">
        <v>4</v>
      </c>
      <c r="I21" s="12">
        <f t="shared" si="0"/>
        <v>90</v>
      </c>
      <c r="J21" s="12">
        <v>2</v>
      </c>
      <c r="K21" s="12">
        <v>128</v>
      </c>
      <c r="L21" s="12">
        <f>'Control Center'!$B$19*'Master Inventory'!J21</f>
        <v>40</v>
      </c>
    </row>
    <row r="22" spans="1:12" x14ac:dyDescent="0.35">
      <c r="A22" s="12" t="s">
        <v>245</v>
      </c>
      <c r="B22" s="12" t="s">
        <v>81</v>
      </c>
      <c r="C22" s="12" t="s">
        <v>82</v>
      </c>
      <c r="D22" s="12" t="s">
        <v>83</v>
      </c>
      <c r="E22" s="12">
        <v>32</v>
      </c>
      <c r="F22" s="12">
        <v>0</v>
      </c>
      <c r="G22" s="12">
        <v>28</v>
      </c>
      <c r="H22" s="12">
        <v>4</v>
      </c>
      <c r="I22" s="12">
        <f t="shared" si="0"/>
        <v>32</v>
      </c>
      <c r="J22" s="12">
        <v>2</v>
      </c>
      <c r="K22" s="12">
        <v>128</v>
      </c>
      <c r="L22" s="12">
        <f>'Control Center'!$B$19*'Master Inventory'!J22</f>
        <v>120</v>
      </c>
    </row>
    <row r="23" spans="1:12" x14ac:dyDescent="0.35">
      <c r="A23" s="12" t="s">
        <v>245</v>
      </c>
      <c r="B23" s="12" t="s">
        <v>84</v>
      </c>
      <c r="C23" s="12" t="s">
        <v>85</v>
      </c>
      <c r="D23" s="12" t="s">
        <v>86</v>
      </c>
      <c r="E23" s="12">
        <v>183</v>
      </c>
      <c r="F23" s="12">
        <v>75</v>
      </c>
      <c r="G23" s="12">
        <v>100</v>
      </c>
      <c r="H23" s="12">
        <v>8</v>
      </c>
      <c r="I23" s="12">
        <f t="shared" si="0"/>
        <v>183</v>
      </c>
      <c r="J23" s="12">
        <v>4</v>
      </c>
      <c r="K23" s="12">
        <v>256</v>
      </c>
      <c r="L23" s="12">
        <f>'Control Center'!$B$19*'Master Inventory'!J23</f>
        <v>80</v>
      </c>
    </row>
    <row r="24" spans="1:12" x14ac:dyDescent="0.35">
      <c r="A24" s="12" t="s">
        <v>245</v>
      </c>
      <c r="B24" s="12" t="s">
        <v>93</v>
      </c>
      <c r="C24" s="12" t="s">
        <v>94</v>
      </c>
      <c r="D24" s="12" t="s">
        <v>95</v>
      </c>
      <c r="E24" s="12">
        <v>585</v>
      </c>
      <c r="F24" s="12">
        <v>288</v>
      </c>
      <c r="G24" s="12">
        <v>275</v>
      </c>
      <c r="H24" s="12">
        <v>22</v>
      </c>
      <c r="I24" s="12">
        <f t="shared" si="0"/>
        <v>585</v>
      </c>
      <c r="J24" s="12">
        <v>11</v>
      </c>
      <c r="K24" s="12">
        <v>704</v>
      </c>
      <c r="L24" s="12">
        <f>'Control Center'!$B$19*'Master Inventory'!J24</f>
        <v>40</v>
      </c>
    </row>
    <row r="25" spans="1:12" x14ac:dyDescent="0.35">
      <c r="A25" s="12" t="s">
        <v>245</v>
      </c>
      <c r="B25" s="12" t="s">
        <v>99</v>
      </c>
      <c r="C25" s="12" t="s">
        <v>100</v>
      </c>
      <c r="D25" s="12" t="s">
        <v>101</v>
      </c>
      <c r="E25" s="12">
        <v>528</v>
      </c>
      <c r="F25" s="12">
        <v>258</v>
      </c>
      <c r="G25" s="12">
        <v>250</v>
      </c>
      <c r="H25" s="12">
        <v>20</v>
      </c>
      <c r="I25" s="12">
        <f t="shared" si="0"/>
        <v>528</v>
      </c>
      <c r="J25" s="12">
        <v>10</v>
      </c>
      <c r="K25" s="12">
        <v>640</v>
      </c>
      <c r="L25" s="12">
        <f>'Control Center'!$B$19*'Master Inventory'!J25</f>
        <v>80</v>
      </c>
    </row>
    <row r="26" spans="1:12" x14ac:dyDescent="0.35">
      <c r="A26" s="12" t="s">
        <v>245</v>
      </c>
      <c r="B26" s="12" t="s">
        <v>102</v>
      </c>
      <c r="C26" s="12" t="s">
        <v>103</v>
      </c>
      <c r="D26" s="12" t="s">
        <v>104</v>
      </c>
      <c r="E26" s="12">
        <v>1031</v>
      </c>
      <c r="F26" s="12">
        <v>599</v>
      </c>
      <c r="G26" s="12">
        <v>400</v>
      </c>
      <c r="H26" s="12">
        <v>32</v>
      </c>
      <c r="I26" s="12">
        <f t="shared" si="0"/>
        <v>1031</v>
      </c>
      <c r="J26" s="12">
        <v>16</v>
      </c>
      <c r="K26" s="12">
        <v>1030</v>
      </c>
      <c r="L26" s="12">
        <f>'Control Center'!$B$19*'Master Inventory'!J26</f>
        <v>40</v>
      </c>
    </row>
    <row r="27" spans="1:12" x14ac:dyDescent="0.35">
      <c r="A27" s="12" t="s">
        <v>245</v>
      </c>
      <c r="B27" s="12" t="s">
        <v>105</v>
      </c>
      <c r="C27" s="12" t="s">
        <v>106</v>
      </c>
      <c r="D27" s="12" t="s">
        <v>242</v>
      </c>
      <c r="E27" s="12">
        <v>63</v>
      </c>
      <c r="F27" s="12">
        <v>47</v>
      </c>
      <c r="G27" s="12">
        <v>15</v>
      </c>
      <c r="H27" s="12">
        <v>1</v>
      </c>
      <c r="I27" s="12">
        <f t="shared" si="0"/>
        <v>63</v>
      </c>
      <c r="J27" s="12">
        <v>1</v>
      </c>
      <c r="K27" s="12">
        <v>56</v>
      </c>
      <c r="L27" s="12">
        <f>'Control Center'!$B$19*'Master Inventory'!J27</f>
        <v>40</v>
      </c>
    </row>
    <row r="28" spans="1:12" x14ac:dyDescent="0.35">
      <c r="A28" s="12" t="s">
        <v>245</v>
      </c>
      <c r="B28" s="12" t="s">
        <v>107</v>
      </c>
      <c r="C28" s="12" t="s">
        <v>108</v>
      </c>
      <c r="D28" s="12" t="s">
        <v>109</v>
      </c>
      <c r="E28" s="12">
        <v>276</v>
      </c>
      <c r="F28" s="12">
        <v>222</v>
      </c>
      <c r="G28" s="12">
        <v>50</v>
      </c>
      <c r="H28" s="12">
        <v>4</v>
      </c>
      <c r="I28" s="12">
        <f t="shared" si="0"/>
        <v>276</v>
      </c>
      <c r="J28" s="12">
        <v>2</v>
      </c>
      <c r="K28" s="12">
        <v>128</v>
      </c>
      <c r="L28" s="12">
        <f>'Control Center'!$B$19*'Master Inventory'!J28</f>
        <v>80</v>
      </c>
    </row>
    <row r="29" spans="1:12" x14ac:dyDescent="0.35">
      <c r="A29" s="12" t="s">
        <v>245</v>
      </c>
      <c r="B29" s="12" t="s">
        <v>110</v>
      </c>
      <c r="C29" s="12" t="s">
        <v>111</v>
      </c>
      <c r="D29" s="12" t="s">
        <v>112</v>
      </c>
      <c r="E29" s="12">
        <v>466</v>
      </c>
      <c r="F29" s="12">
        <v>250</v>
      </c>
      <c r="G29" s="12">
        <v>200</v>
      </c>
      <c r="H29" s="12">
        <v>16</v>
      </c>
      <c r="I29" s="12">
        <f t="shared" si="0"/>
        <v>466</v>
      </c>
      <c r="J29" s="12">
        <v>8</v>
      </c>
      <c r="K29" s="12">
        <v>512</v>
      </c>
      <c r="L29" s="12">
        <f>'Control Center'!$B$19*'Master Inventory'!J29</f>
        <v>220</v>
      </c>
    </row>
    <row r="30" spans="1:12" x14ac:dyDescent="0.35">
      <c r="A30" s="12" t="s">
        <v>245</v>
      </c>
      <c r="B30" s="12" t="s">
        <v>113</v>
      </c>
      <c r="C30" s="12" t="s">
        <v>114</v>
      </c>
      <c r="D30" s="12" t="s">
        <v>115</v>
      </c>
      <c r="E30" s="12">
        <v>909</v>
      </c>
      <c r="F30" s="12">
        <v>693</v>
      </c>
      <c r="G30" s="12">
        <v>200</v>
      </c>
      <c r="H30" s="12">
        <v>16</v>
      </c>
      <c r="I30" s="12">
        <f t="shared" si="0"/>
        <v>909</v>
      </c>
      <c r="J30" s="12">
        <v>8</v>
      </c>
      <c r="K30" s="12">
        <v>512</v>
      </c>
      <c r="L30" s="12">
        <f>'Control Center'!$B$19*'Master Inventory'!J30</f>
        <v>200</v>
      </c>
    </row>
    <row r="31" spans="1:12" x14ac:dyDescent="0.35">
      <c r="A31" s="12" t="s">
        <v>245</v>
      </c>
      <c r="B31" s="12" t="s">
        <v>116</v>
      </c>
      <c r="C31" s="12" t="s">
        <v>117</v>
      </c>
      <c r="D31" s="12" t="s">
        <v>118</v>
      </c>
      <c r="E31" s="12">
        <v>263</v>
      </c>
      <c r="F31" s="12">
        <v>155</v>
      </c>
      <c r="G31" s="12">
        <v>100</v>
      </c>
      <c r="H31" s="12">
        <v>8</v>
      </c>
      <c r="I31" s="12">
        <f t="shared" si="0"/>
        <v>263</v>
      </c>
      <c r="J31" s="12">
        <v>4</v>
      </c>
      <c r="K31" s="12">
        <v>256</v>
      </c>
      <c r="L31" s="12">
        <f>'Control Center'!$B$19*'Master Inventory'!J31</f>
        <v>320</v>
      </c>
    </row>
    <row r="32" spans="1:12" x14ac:dyDescent="0.35">
      <c r="A32" s="12" t="s">
        <v>245</v>
      </c>
      <c r="B32" s="12" t="s">
        <v>119</v>
      </c>
      <c r="C32" s="12" t="s">
        <v>120</v>
      </c>
      <c r="D32" s="12" t="s">
        <v>121</v>
      </c>
      <c r="E32" s="12">
        <v>62</v>
      </c>
      <c r="F32" s="12">
        <v>30</v>
      </c>
      <c r="G32" s="12">
        <v>28</v>
      </c>
      <c r="H32" s="12">
        <v>4</v>
      </c>
      <c r="I32" s="12">
        <f t="shared" si="0"/>
        <v>62</v>
      </c>
      <c r="J32" s="12">
        <v>2</v>
      </c>
      <c r="K32" s="12">
        <v>128</v>
      </c>
      <c r="L32" s="12">
        <f>'Control Center'!$B$19*'Master Inventory'!J32</f>
        <v>20</v>
      </c>
    </row>
    <row r="33" spans="1:12" x14ac:dyDescent="0.35">
      <c r="A33" s="12" t="s">
        <v>240</v>
      </c>
      <c r="B33" s="12" t="s">
        <v>122</v>
      </c>
      <c r="C33" s="12" t="s">
        <v>123</v>
      </c>
      <c r="D33" s="12" t="s">
        <v>124</v>
      </c>
      <c r="E33" s="12">
        <v>44</v>
      </c>
      <c r="F33" s="12">
        <v>9</v>
      </c>
      <c r="G33" s="12">
        <v>7</v>
      </c>
      <c r="H33" s="12">
        <v>28</v>
      </c>
      <c r="I33" s="12">
        <f t="shared" si="0"/>
        <v>44</v>
      </c>
      <c r="J33" s="12">
        <v>1</v>
      </c>
      <c r="K33" s="12">
        <v>64</v>
      </c>
      <c r="L33" s="12">
        <f>'Control Center'!$B$19*'Master Inventory'!J33</f>
        <v>40</v>
      </c>
    </row>
    <row r="34" spans="1:12" x14ac:dyDescent="0.35">
      <c r="A34" s="12" t="s">
        <v>240</v>
      </c>
      <c r="B34" s="12" t="s">
        <v>125</v>
      </c>
      <c r="C34" s="12" t="s">
        <v>126</v>
      </c>
      <c r="D34" s="12" t="s">
        <v>127</v>
      </c>
      <c r="E34" s="12">
        <v>45</v>
      </c>
      <c r="F34" s="12">
        <v>10</v>
      </c>
      <c r="G34" s="12">
        <v>7</v>
      </c>
      <c r="H34" s="12">
        <v>28</v>
      </c>
      <c r="I34" s="12">
        <f t="shared" ref="I34:I71" si="1">SUM(F34:H34)</f>
        <v>45</v>
      </c>
      <c r="J34" s="12">
        <v>1</v>
      </c>
      <c r="K34" s="12">
        <v>64</v>
      </c>
      <c r="L34" s="12">
        <f>'Control Center'!$B$19*'Master Inventory'!J34</f>
        <v>160</v>
      </c>
    </row>
    <row r="35" spans="1:12" x14ac:dyDescent="0.35">
      <c r="A35" s="12" t="s">
        <v>240</v>
      </c>
      <c r="B35" s="12" t="s">
        <v>128</v>
      </c>
      <c r="C35" s="12" t="s">
        <v>129</v>
      </c>
      <c r="D35" s="12" t="s">
        <v>130</v>
      </c>
      <c r="E35" s="12">
        <v>68</v>
      </c>
      <c r="F35" s="12">
        <v>33</v>
      </c>
      <c r="G35" s="12">
        <v>7</v>
      </c>
      <c r="H35" s="12">
        <v>28</v>
      </c>
      <c r="I35" s="12">
        <f t="shared" si="1"/>
        <v>68</v>
      </c>
      <c r="J35" s="12">
        <v>1</v>
      </c>
      <c r="K35" s="12">
        <v>64</v>
      </c>
      <c r="L35" s="12">
        <f>'Control Center'!$B$19*'Master Inventory'!J35</f>
        <v>160</v>
      </c>
    </row>
    <row r="36" spans="1:12" x14ac:dyDescent="0.35">
      <c r="A36" s="12" t="s">
        <v>240</v>
      </c>
      <c r="B36" s="12" t="s">
        <v>131</v>
      </c>
      <c r="C36" s="12" t="s">
        <v>132</v>
      </c>
      <c r="D36" s="12" t="s">
        <v>133</v>
      </c>
      <c r="E36" s="12">
        <v>61</v>
      </c>
      <c r="F36" s="12">
        <v>26</v>
      </c>
      <c r="G36" s="12">
        <v>7</v>
      </c>
      <c r="H36" s="12">
        <v>28</v>
      </c>
      <c r="I36" s="12">
        <f t="shared" si="1"/>
        <v>61</v>
      </c>
      <c r="J36" s="12">
        <v>1</v>
      </c>
      <c r="K36" s="12">
        <v>64</v>
      </c>
      <c r="L36" s="12">
        <f>'Control Center'!$B$19*'Master Inventory'!J36</f>
        <v>80</v>
      </c>
    </row>
    <row r="37" spans="1:12" x14ac:dyDescent="0.35">
      <c r="A37" s="12" t="s">
        <v>240</v>
      </c>
      <c r="B37" s="12" t="s">
        <v>134</v>
      </c>
      <c r="C37" s="12" t="s">
        <v>135</v>
      </c>
      <c r="D37" s="12" t="s">
        <v>136</v>
      </c>
      <c r="E37" s="12">
        <v>57</v>
      </c>
      <c r="F37" s="12">
        <v>22</v>
      </c>
      <c r="G37" s="12">
        <v>7</v>
      </c>
      <c r="H37" s="12">
        <v>28</v>
      </c>
      <c r="I37" s="12">
        <f t="shared" si="1"/>
        <v>57</v>
      </c>
      <c r="J37" s="12">
        <v>1</v>
      </c>
      <c r="K37" s="12">
        <v>64</v>
      </c>
      <c r="L37" s="12">
        <f>'Control Center'!$B$19*'Master Inventory'!J37</f>
        <v>40</v>
      </c>
    </row>
    <row r="38" spans="1:12" x14ac:dyDescent="0.35">
      <c r="A38" s="12" t="s">
        <v>240</v>
      </c>
      <c r="B38" s="12" t="s">
        <v>137</v>
      </c>
      <c r="C38" s="12" t="s">
        <v>138</v>
      </c>
      <c r="D38" s="12" t="s">
        <v>136</v>
      </c>
      <c r="E38" s="12">
        <v>86</v>
      </c>
      <c r="F38" s="12">
        <v>16</v>
      </c>
      <c r="G38" s="12">
        <v>14</v>
      </c>
      <c r="H38" s="12">
        <v>56</v>
      </c>
      <c r="I38" s="12">
        <f t="shared" si="1"/>
        <v>86</v>
      </c>
      <c r="J38" s="12">
        <v>2</v>
      </c>
      <c r="K38" s="12">
        <v>128</v>
      </c>
      <c r="L38" s="12">
        <f>'Control Center'!$B$19*'Master Inventory'!J38</f>
        <v>20</v>
      </c>
    </row>
    <row r="39" spans="1:12" x14ac:dyDescent="0.35">
      <c r="A39" s="12" t="s">
        <v>240</v>
      </c>
      <c r="B39" s="12" t="s">
        <v>139</v>
      </c>
      <c r="C39" s="12" t="s">
        <v>140</v>
      </c>
      <c r="D39" s="12" t="s">
        <v>141</v>
      </c>
      <c r="E39" s="12">
        <v>94</v>
      </c>
      <c r="F39" s="12">
        <v>59</v>
      </c>
      <c r="G39" s="12">
        <v>7</v>
      </c>
      <c r="H39" s="12">
        <v>28</v>
      </c>
      <c r="I39" s="12">
        <f t="shared" si="1"/>
        <v>94</v>
      </c>
      <c r="J39" s="12">
        <v>1</v>
      </c>
      <c r="K39" s="12">
        <v>64</v>
      </c>
      <c r="L39" s="12">
        <f>'Control Center'!$B$19*'Master Inventory'!J39</f>
        <v>20</v>
      </c>
    </row>
    <row r="40" spans="1:12" x14ac:dyDescent="0.35">
      <c r="A40" s="12" t="s">
        <v>240</v>
      </c>
      <c r="B40" s="12" t="s">
        <v>142</v>
      </c>
      <c r="C40" s="12" t="s">
        <v>143</v>
      </c>
      <c r="D40" s="12" t="s">
        <v>144</v>
      </c>
      <c r="E40" s="12">
        <v>43</v>
      </c>
      <c r="F40" s="12">
        <v>8</v>
      </c>
      <c r="G40" s="12">
        <v>7</v>
      </c>
      <c r="H40" s="12">
        <v>28</v>
      </c>
      <c r="I40" s="12">
        <f t="shared" si="1"/>
        <v>43</v>
      </c>
      <c r="J40" s="12">
        <v>1</v>
      </c>
      <c r="K40" s="12">
        <v>64</v>
      </c>
      <c r="L40" s="12">
        <f>'Control Center'!$B$19*'Master Inventory'!J40</f>
        <v>20</v>
      </c>
    </row>
    <row r="41" spans="1:12" x14ac:dyDescent="0.35">
      <c r="A41" s="12" t="s">
        <v>240</v>
      </c>
      <c r="B41" s="12" t="s">
        <v>145</v>
      </c>
      <c r="C41" s="12" t="s">
        <v>146</v>
      </c>
      <c r="D41" s="12" t="s">
        <v>147</v>
      </c>
      <c r="E41" s="12">
        <v>44</v>
      </c>
      <c r="F41" s="12">
        <v>9</v>
      </c>
      <c r="G41" s="12">
        <v>7</v>
      </c>
      <c r="H41" s="12">
        <v>28</v>
      </c>
      <c r="I41" s="12">
        <f t="shared" si="1"/>
        <v>44</v>
      </c>
      <c r="J41" s="12">
        <v>1</v>
      </c>
      <c r="K41" s="12">
        <v>64</v>
      </c>
      <c r="L41" s="12">
        <f>'Control Center'!$B$19*'Master Inventory'!J41</f>
        <v>20</v>
      </c>
    </row>
    <row r="42" spans="1:12" x14ac:dyDescent="0.35">
      <c r="A42" s="12" t="s">
        <v>240</v>
      </c>
      <c r="B42" s="12" t="s">
        <v>148</v>
      </c>
      <c r="C42" s="12" t="s">
        <v>149</v>
      </c>
      <c r="D42" s="12" t="s">
        <v>150</v>
      </c>
      <c r="E42" s="12">
        <v>86</v>
      </c>
      <c r="F42" s="12">
        <v>16</v>
      </c>
      <c r="G42" s="12">
        <v>14</v>
      </c>
      <c r="H42" s="12">
        <v>56</v>
      </c>
      <c r="I42" s="12">
        <f t="shared" si="1"/>
        <v>86</v>
      </c>
      <c r="J42" s="12">
        <v>2</v>
      </c>
      <c r="K42" s="12">
        <v>128</v>
      </c>
      <c r="L42" s="12">
        <f>'Control Center'!$B$19*'Master Inventory'!J42</f>
        <v>20</v>
      </c>
    </row>
    <row r="43" spans="1:12" x14ac:dyDescent="0.35">
      <c r="A43" s="12" t="s">
        <v>240</v>
      </c>
      <c r="B43" s="12" t="s">
        <v>151</v>
      </c>
      <c r="C43" s="12" t="s">
        <v>152</v>
      </c>
      <c r="D43" s="12" t="s">
        <v>153</v>
      </c>
      <c r="E43" s="12">
        <v>86</v>
      </c>
      <c r="F43" s="12">
        <v>16</v>
      </c>
      <c r="G43" s="12">
        <v>14</v>
      </c>
      <c r="H43" s="12">
        <v>56</v>
      </c>
      <c r="I43" s="12">
        <f t="shared" si="1"/>
        <v>86</v>
      </c>
      <c r="J43" s="12">
        <v>2</v>
      </c>
      <c r="K43" s="12">
        <v>128</v>
      </c>
      <c r="L43" s="12">
        <f>'Control Center'!$B$19*'Master Inventory'!J43</f>
        <v>40</v>
      </c>
    </row>
    <row r="44" spans="1:12" x14ac:dyDescent="0.35">
      <c r="A44" s="12" t="s">
        <v>240</v>
      </c>
      <c r="B44" s="12" t="s">
        <v>154</v>
      </c>
      <c r="C44" s="12" t="s">
        <v>155</v>
      </c>
      <c r="D44" s="12" t="s">
        <v>156</v>
      </c>
      <c r="E44" s="12">
        <v>51</v>
      </c>
      <c r="F44" s="12">
        <v>16</v>
      </c>
      <c r="G44" s="12">
        <v>7</v>
      </c>
      <c r="H44" s="12">
        <v>28</v>
      </c>
      <c r="I44" s="12">
        <f t="shared" si="1"/>
        <v>51</v>
      </c>
      <c r="J44" s="12">
        <v>1</v>
      </c>
      <c r="K44" s="12">
        <v>64</v>
      </c>
      <c r="L44" s="12">
        <f>'Control Center'!$B$19*'Master Inventory'!J44</f>
        <v>20</v>
      </c>
    </row>
    <row r="45" spans="1:12" x14ac:dyDescent="0.35">
      <c r="A45" s="12" t="s">
        <v>240</v>
      </c>
      <c r="B45" s="12" t="s">
        <v>157</v>
      </c>
      <c r="C45" s="12" t="s">
        <v>158</v>
      </c>
      <c r="D45" s="12" t="s">
        <v>159</v>
      </c>
      <c r="E45" s="12">
        <v>86</v>
      </c>
      <c r="F45" s="12">
        <v>16</v>
      </c>
      <c r="G45" s="12">
        <v>14</v>
      </c>
      <c r="H45" s="12">
        <v>56</v>
      </c>
      <c r="I45" s="12">
        <f t="shared" si="1"/>
        <v>86</v>
      </c>
      <c r="J45" s="12">
        <v>2</v>
      </c>
      <c r="K45" s="12">
        <v>128</v>
      </c>
      <c r="L45" s="12">
        <f>'Control Center'!$B$19*'Master Inventory'!J45</f>
        <v>20</v>
      </c>
    </row>
    <row r="46" spans="1:12" x14ac:dyDescent="0.35">
      <c r="A46" s="12" t="s">
        <v>240</v>
      </c>
      <c r="B46" s="12" t="s">
        <v>160</v>
      </c>
      <c r="C46" s="12" t="s">
        <v>161</v>
      </c>
      <c r="D46" s="12" t="s">
        <v>162</v>
      </c>
      <c r="E46" s="12">
        <v>40</v>
      </c>
      <c r="F46" s="12">
        <v>0</v>
      </c>
      <c r="G46" s="12">
        <v>0</v>
      </c>
      <c r="H46" s="12">
        <v>40</v>
      </c>
      <c r="I46" s="12">
        <f t="shared" si="1"/>
        <v>40</v>
      </c>
      <c r="J46" s="12">
        <v>2</v>
      </c>
      <c r="K46" s="12">
        <v>128</v>
      </c>
      <c r="L46" s="12">
        <f>'Control Center'!$B$19*'Master Inventory'!J46</f>
        <v>20</v>
      </c>
    </row>
    <row r="47" spans="1:12" x14ac:dyDescent="0.35">
      <c r="A47" s="12" t="s">
        <v>240</v>
      </c>
      <c r="B47" s="12" t="s">
        <v>163</v>
      </c>
      <c r="C47" s="12" t="s">
        <v>164</v>
      </c>
      <c r="D47" s="12" t="s">
        <v>165</v>
      </c>
      <c r="E47" s="12">
        <v>82</v>
      </c>
      <c r="F47" s="12">
        <v>12</v>
      </c>
      <c r="G47" s="12">
        <v>14</v>
      </c>
      <c r="H47" s="12">
        <v>56</v>
      </c>
      <c r="I47" s="12">
        <f t="shared" si="1"/>
        <v>82</v>
      </c>
      <c r="J47" s="12">
        <v>2</v>
      </c>
      <c r="K47" s="12">
        <v>128</v>
      </c>
      <c r="L47" s="12">
        <f>'Control Center'!$B$19*'Master Inventory'!J47</f>
        <v>40</v>
      </c>
    </row>
    <row r="48" spans="1:12" x14ac:dyDescent="0.35">
      <c r="A48" s="12" t="s">
        <v>246</v>
      </c>
      <c r="B48" s="12" t="s">
        <v>166</v>
      </c>
      <c r="C48" s="12" t="s">
        <v>167</v>
      </c>
      <c r="D48" s="12" t="s">
        <v>168</v>
      </c>
      <c r="E48" s="12">
        <v>58</v>
      </c>
      <c r="F48" s="12">
        <v>48</v>
      </c>
      <c r="G48" s="12">
        <v>8</v>
      </c>
      <c r="H48" s="12">
        <v>2</v>
      </c>
      <c r="I48" s="12">
        <f t="shared" si="1"/>
        <v>58</v>
      </c>
      <c r="J48" s="12">
        <v>1</v>
      </c>
      <c r="K48" s="12">
        <v>64</v>
      </c>
      <c r="L48" s="12">
        <f>'Control Center'!$B$19*'Master Inventory'!J48</f>
        <v>40</v>
      </c>
    </row>
    <row r="49" spans="1:12" x14ac:dyDescent="0.35">
      <c r="A49" s="12" t="s">
        <v>246</v>
      </c>
      <c r="B49" s="12" t="s">
        <v>169</v>
      </c>
      <c r="C49" s="12" t="s">
        <v>170</v>
      </c>
      <c r="D49" s="12" t="s">
        <v>171</v>
      </c>
      <c r="E49" s="12">
        <v>58</v>
      </c>
      <c r="F49" s="12">
        <v>48</v>
      </c>
      <c r="G49" s="12">
        <v>8</v>
      </c>
      <c r="H49" s="12">
        <v>2</v>
      </c>
      <c r="I49" s="12">
        <f t="shared" si="1"/>
        <v>58</v>
      </c>
      <c r="J49" s="12">
        <v>1</v>
      </c>
      <c r="K49" s="12">
        <v>64</v>
      </c>
      <c r="L49" s="12">
        <f>'Control Center'!$B$19*'Master Inventory'!J49</f>
        <v>20</v>
      </c>
    </row>
    <row r="50" spans="1:12" x14ac:dyDescent="0.35">
      <c r="A50" s="12" t="s">
        <v>246</v>
      </c>
      <c r="B50" s="12" t="s">
        <v>172</v>
      </c>
      <c r="C50" s="12" t="s">
        <v>173</v>
      </c>
      <c r="D50" s="12" t="s">
        <v>174</v>
      </c>
      <c r="E50" s="12">
        <v>56</v>
      </c>
      <c r="F50" s="12">
        <v>46</v>
      </c>
      <c r="G50" s="12">
        <v>8</v>
      </c>
      <c r="H50" s="12">
        <v>2</v>
      </c>
      <c r="I50" s="12">
        <f t="shared" si="1"/>
        <v>56</v>
      </c>
      <c r="J50" s="12">
        <v>1</v>
      </c>
      <c r="K50" s="12">
        <v>64</v>
      </c>
      <c r="L50" s="12">
        <f>'Control Center'!$B$19*'Master Inventory'!J50</f>
        <v>40</v>
      </c>
    </row>
    <row r="51" spans="1:12" x14ac:dyDescent="0.35">
      <c r="A51" s="12" t="s">
        <v>246</v>
      </c>
      <c r="B51" s="12" t="s">
        <v>175</v>
      </c>
      <c r="C51" s="12" t="s">
        <v>176</v>
      </c>
      <c r="D51" s="12" t="s">
        <v>177</v>
      </c>
      <c r="E51" s="12">
        <v>58</v>
      </c>
      <c r="F51" s="12">
        <v>48</v>
      </c>
      <c r="G51" s="12">
        <v>8</v>
      </c>
      <c r="H51" s="12">
        <v>2</v>
      </c>
      <c r="I51" s="12">
        <f t="shared" si="1"/>
        <v>58</v>
      </c>
      <c r="J51" s="12">
        <v>1</v>
      </c>
      <c r="K51" s="12">
        <v>64</v>
      </c>
      <c r="L51" s="12">
        <f>'Control Center'!$B$19*'Master Inventory'!J51</f>
        <v>40</v>
      </c>
    </row>
    <row r="52" spans="1:12" x14ac:dyDescent="0.35">
      <c r="A52" s="12" t="s">
        <v>246</v>
      </c>
      <c r="B52" s="12" t="s">
        <v>181</v>
      </c>
      <c r="C52" s="12" t="s">
        <v>182</v>
      </c>
      <c r="D52" s="12" t="s">
        <v>183</v>
      </c>
      <c r="E52" s="12">
        <v>59</v>
      </c>
      <c r="F52" s="12">
        <v>49</v>
      </c>
      <c r="G52" s="12">
        <v>8</v>
      </c>
      <c r="H52" s="12">
        <v>2</v>
      </c>
      <c r="I52" s="12">
        <f t="shared" si="1"/>
        <v>59</v>
      </c>
      <c r="J52" s="12">
        <v>1</v>
      </c>
      <c r="K52" s="12">
        <v>64</v>
      </c>
      <c r="L52" s="12">
        <f>'Control Center'!$B$19*'Master Inventory'!J52</f>
        <v>40</v>
      </c>
    </row>
    <row r="53" spans="1:12" x14ac:dyDescent="0.35">
      <c r="A53" s="12" t="s">
        <v>246</v>
      </c>
      <c r="B53" s="12" t="s">
        <v>184</v>
      </c>
      <c r="C53" s="12" t="s">
        <v>185</v>
      </c>
      <c r="D53" s="12" t="s">
        <v>186</v>
      </c>
      <c r="E53" s="12">
        <v>62</v>
      </c>
      <c r="F53" s="12">
        <v>52</v>
      </c>
      <c r="G53" s="12">
        <v>8</v>
      </c>
      <c r="H53" s="12">
        <v>2</v>
      </c>
      <c r="I53" s="12">
        <f t="shared" si="1"/>
        <v>62</v>
      </c>
      <c r="J53" s="12">
        <v>1</v>
      </c>
      <c r="K53" s="12">
        <v>64</v>
      </c>
      <c r="L53" s="12">
        <f>'Control Center'!$B$19*'Master Inventory'!J53</f>
        <v>20</v>
      </c>
    </row>
    <row r="54" spans="1:12" x14ac:dyDescent="0.35">
      <c r="A54" s="12" t="s">
        <v>246</v>
      </c>
      <c r="B54" s="12" t="s">
        <v>193</v>
      </c>
      <c r="C54" s="12" t="s">
        <v>194</v>
      </c>
      <c r="D54" s="12" t="s">
        <v>195</v>
      </c>
      <c r="E54" s="12">
        <v>34</v>
      </c>
      <c r="F54" s="12">
        <v>24</v>
      </c>
      <c r="G54" s="12">
        <v>8</v>
      </c>
      <c r="H54" s="12">
        <v>2</v>
      </c>
      <c r="I54" s="12">
        <f t="shared" si="1"/>
        <v>34</v>
      </c>
      <c r="J54" s="12">
        <v>1</v>
      </c>
      <c r="K54" s="12">
        <v>64</v>
      </c>
      <c r="L54" s="12">
        <f>'Control Center'!$B$19*'Master Inventory'!J54</f>
        <v>20</v>
      </c>
    </row>
    <row r="55" spans="1:12" x14ac:dyDescent="0.35">
      <c r="A55" s="12" t="s">
        <v>246</v>
      </c>
      <c r="B55" s="12" t="s">
        <v>196</v>
      </c>
      <c r="C55" s="12" t="s">
        <v>197</v>
      </c>
      <c r="D55" s="12" t="s">
        <v>198</v>
      </c>
      <c r="E55" s="12">
        <v>44</v>
      </c>
      <c r="F55" s="12">
        <v>42</v>
      </c>
      <c r="G55" s="12">
        <v>0</v>
      </c>
      <c r="H55" s="12">
        <v>2</v>
      </c>
      <c r="I55" s="12">
        <f t="shared" si="1"/>
        <v>44</v>
      </c>
      <c r="J55" s="12">
        <v>1</v>
      </c>
      <c r="K55" s="12">
        <v>64</v>
      </c>
      <c r="L55" s="12">
        <f>'Control Center'!$B$19*'Master Inventory'!J55</f>
        <v>20</v>
      </c>
    </row>
    <row r="56" spans="1:12" x14ac:dyDescent="0.35">
      <c r="A56" s="12" t="s">
        <v>246</v>
      </c>
      <c r="B56" s="12" t="s">
        <v>199</v>
      </c>
      <c r="C56" s="12" t="s">
        <v>200</v>
      </c>
      <c r="D56" s="12" t="s">
        <v>147</v>
      </c>
      <c r="E56" s="12">
        <v>45</v>
      </c>
      <c r="F56" s="12">
        <v>35</v>
      </c>
      <c r="G56" s="12">
        <v>8</v>
      </c>
      <c r="H56" s="12">
        <v>2</v>
      </c>
      <c r="I56" s="12">
        <f t="shared" si="1"/>
        <v>45</v>
      </c>
      <c r="J56" s="12">
        <v>1</v>
      </c>
      <c r="K56" s="12">
        <v>64</v>
      </c>
      <c r="L56" s="12">
        <f>'Control Center'!$B$19*'Master Inventory'!J56</f>
        <v>20</v>
      </c>
    </row>
    <row r="57" spans="1:12" x14ac:dyDescent="0.35">
      <c r="A57" s="12" t="s">
        <v>246</v>
      </c>
      <c r="B57" s="12" t="s">
        <v>201</v>
      </c>
      <c r="C57" s="12" t="s">
        <v>74</v>
      </c>
      <c r="D57" s="12" t="s">
        <v>195</v>
      </c>
      <c r="E57" s="12">
        <v>54</v>
      </c>
      <c r="F57" s="12">
        <v>44</v>
      </c>
      <c r="G57" s="12">
        <v>8</v>
      </c>
      <c r="H57" s="12">
        <v>2</v>
      </c>
      <c r="I57" s="12">
        <f t="shared" si="1"/>
        <v>54</v>
      </c>
      <c r="J57" s="12">
        <v>1</v>
      </c>
      <c r="K57" s="12">
        <v>64</v>
      </c>
      <c r="L57" s="12">
        <f>'Control Center'!$B$19*'Master Inventory'!J57</f>
        <v>20</v>
      </c>
    </row>
    <row r="58" spans="1:12" x14ac:dyDescent="0.35">
      <c r="A58" s="12" t="s">
        <v>246</v>
      </c>
      <c r="B58" s="12" t="s">
        <v>202</v>
      </c>
      <c r="C58" s="12" t="s">
        <v>203</v>
      </c>
      <c r="D58" s="12" t="s">
        <v>204</v>
      </c>
      <c r="E58" s="12">
        <v>52</v>
      </c>
      <c r="F58" s="12">
        <v>50</v>
      </c>
      <c r="G58" s="12">
        <v>0</v>
      </c>
      <c r="H58" s="12">
        <v>2</v>
      </c>
      <c r="I58" s="12">
        <f t="shared" si="1"/>
        <v>52</v>
      </c>
      <c r="J58" s="12">
        <v>1</v>
      </c>
      <c r="K58" s="12">
        <v>64</v>
      </c>
      <c r="L58" s="12">
        <f>'Control Center'!$B$19*'Master Inventory'!J58</f>
        <v>20</v>
      </c>
    </row>
    <row r="59" spans="1:12" x14ac:dyDescent="0.35">
      <c r="A59" s="12" t="s">
        <v>246</v>
      </c>
      <c r="B59" s="12" t="s">
        <v>205</v>
      </c>
      <c r="C59" s="12" t="s">
        <v>206</v>
      </c>
      <c r="D59" s="12" t="s">
        <v>147</v>
      </c>
      <c r="E59" s="12">
        <v>42</v>
      </c>
      <c r="F59" s="12">
        <v>32</v>
      </c>
      <c r="G59" s="12">
        <v>8</v>
      </c>
      <c r="H59" s="12">
        <v>2</v>
      </c>
      <c r="I59" s="12">
        <f t="shared" si="1"/>
        <v>42</v>
      </c>
      <c r="J59" s="12">
        <v>1</v>
      </c>
      <c r="K59" s="12">
        <v>64</v>
      </c>
      <c r="L59" s="12">
        <f>'Control Center'!$B$19*'Master Inventory'!J59</f>
        <v>20</v>
      </c>
    </row>
    <row r="60" spans="1:12" x14ac:dyDescent="0.35">
      <c r="A60" s="12" t="s">
        <v>246</v>
      </c>
      <c r="B60" s="12" t="s">
        <v>207</v>
      </c>
      <c r="C60" s="12" t="s">
        <v>208</v>
      </c>
      <c r="D60" s="12" t="s">
        <v>209</v>
      </c>
      <c r="E60" s="12">
        <v>45</v>
      </c>
      <c r="F60" s="12">
        <v>35</v>
      </c>
      <c r="G60" s="12">
        <v>8</v>
      </c>
      <c r="H60" s="12">
        <v>2</v>
      </c>
      <c r="I60" s="12">
        <f t="shared" si="1"/>
        <v>45</v>
      </c>
      <c r="J60" s="12">
        <v>1</v>
      </c>
      <c r="K60" s="12">
        <v>64</v>
      </c>
      <c r="L60" s="12">
        <f>'Control Center'!$B$19*'Master Inventory'!J60</f>
        <v>20</v>
      </c>
    </row>
    <row r="61" spans="1:12" x14ac:dyDescent="0.35">
      <c r="A61" s="12" t="s">
        <v>246</v>
      </c>
      <c r="B61" s="12" t="s">
        <v>210</v>
      </c>
      <c r="C61" s="12" t="s">
        <v>211</v>
      </c>
      <c r="D61" s="12" t="s">
        <v>212</v>
      </c>
      <c r="E61" s="12">
        <v>71</v>
      </c>
      <c r="F61" s="12">
        <v>61</v>
      </c>
      <c r="G61" s="12">
        <v>8</v>
      </c>
      <c r="H61" s="12">
        <v>2</v>
      </c>
      <c r="I61" s="12">
        <f t="shared" si="1"/>
        <v>71</v>
      </c>
      <c r="J61" s="12">
        <v>1</v>
      </c>
      <c r="K61" s="12">
        <v>64</v>
      </c>
      <c r="L61" s="12">
        <f>'Control Center'!$B$19*'Master Inventory'!J61</f>
        <v>20</v>
      </c>
    </row>
    <row r="62" spans="1:12" x14ac:dyDescent="0.35">
      <c r="A62" s="12" t="s">
        <v>246</v>
      </c>
      <c r="B62" s="12" t="s">
        <v>213</v>
      </c>
      <c r="C62" s="12" t="s">
        <v>214</v>
      </c>
      <c r="D62" s="12" t="s">
        <v>215</v>
      </c>
      <c r="E62" s="12">
        <v>48</v>
      </c>
      <c r="F62" s="12">
        <v>38</v>
      </c>
      <c r="G62" s="12">
        <v>8</v>
      </c>
      <c r="H62" s="12">
        <v>2</v>
      </c>
      <c r="I62" s="12">
        <f t="shared" si="1"/>
        <v>48</v>
      </c>
      <c r="J62" s="12">
        <v>1</v>
      </c>
      <c r="K62" s="12">
        <v>64</v>
      </c>
      <c r="L62" s="12">
        <f>'Control Center'!$B$19*'Master Inventory'!J62</f>
        <v>20</v>
      </c>
    </row>
    <row r="63" spans="1:12" x14ac:dyDescent="0.35">
      <c r="A63" s="12" t="s">
        <v>246</v>
      </c>
      <c r="B63" s="12" t="s">
        <v>219</v>
      </c>
      <c r="C63" s="12" t="s">
        <v>220</v>
      </c>
      <c r="D63" s="12" t="s">
        <v>221</v>
      </c>
      <c r="E63" s="12">
        <v>71</v>
      </c>
      <c r="F63" s="12">
        <v>61</v>
      </c>
      <c r="G63" s="12">
        <v>8</v>
      </c>
      <c r="H63" s="12">
        <v>2</v>
      </c>
      <c r="I63" s="12">
        <f t="shared" si="1"/>
        <v>71</v>
      </c>
      <c r="J63" s="12">
        <v>1</v>
      </c>
      <c r="K63" s="12">
        <v>64</v>
      </c>
      <c r="L63" s="12">
        <f>'Control Center'!$B$19*'Master Inventory'!J63</f>
        <v>20</v>
      </c>
    </row>
    <row r="64" spans="1:12" x14ac:dyDescent="0.35">
      <c r="A64" s="12" t="s">
        <v>247</v>
      </c>
      <c r="B64" s="12" t="s">
        <v>42</v>
      </c>
      <c r="C64" s="12" t="s">
        <v>43</v>
      </c>
      <c r="D64" s="12" t="s">
        <v>44</v>
      </c>
      <c r="E64" s="12">
        <v>177</v>
      </c>
      <c r="F64" s="12">
        <v>177</v>
      </c>
      <c r="G64" s="12">
        <v>0</v>
      </c>
      <c r="H64" s="12">
        <v>0</v>
      </c>
      <c r="I64" s="12">
        <f t="shared" si="1"/>
        <v>177</v>
      </c>
      <c r="J64" s="12">
        <v>2</v>
      </c>
      <c r="K64" s="12">
        <v>128</v>
      </c>
      <c r="L64" s="12">
        <f>'Control Center'!$B$19*'Master Inventory'!J64</f>
        <v>20</v>
      </c>
    </row>
    <row r="65" spans="1:12" x14ac:dyDescent="0.35">
      <c r="A65" s="12" t="s">
        <v>247</v>
      </c>
      <c r="B65" s="12" t="s">
        <v>87</v>
      </c>
      <c r="C65" s="12" t="s">
        <v>88</v>
      </c>
      <c r="D65" s="12" t="s">
        <v>89</v>
      </c>
      <c r="E65" s="12">
        <v>78</v>
      </c>
      <c r="F65" s="12">
        <v>78</v>
      </c>
      <c r="G65" s="12">
        <v>0</v>
      </c>
      <c r="H65" s="12">
        <v>0</v>
      </c>
      <c r="I65" s="12">
        <f t="shared" si="1"/>
        <v>78</v>
      </c>
      <c r="J65" s="12">
        <v>2</v>
      </c>
      <c r="K65" s="12">
        <v>128</v>
      </c>
      <c r="L65" s="12">
        <f>'Control Center'!$B$19*'Master Inventory'!J65</f>
        <v>20</v>
      </c>
    </row>
    <row r="66" spans="1:12" x14ac:dyDescent="0.35">
      <c r="A66" s="12" t="s">
        <v>247</v>
      </c>
      <c r="B66" s="12" t="s">
        <v>90</v>
      </c>
      <c r="C66" s="12" t="s">
        <v>91</v>
      </c>
      <c r="D66" s="12" t="s">
        <v>92</v>
      </c>
      <c r="E66" s="12">
        <v>72</v>
      </c>
      <c r="F66" s="12">
        <v>72</v>
      </c>
      <c r="G66" s="12">
        <v>0</v>
      </c>
      <c r="H66" s="12">
        <v>0</v>
      </c>
      <c r="I66" s="12">
        <f t="shared" si="1"/>
        <v>72</v>
      </c>
      <c r="J66" s="12">
        <v>2</v>
      </c>
      <c r="K66" s="12">
        <v>128</v>
      </c>
      <c r="L66" s="12">
        <f>'Control Center'!$B$19*'Master Inventory'!J66</f>
        <v>20</v>
      </c>
    </row>
    <row r="67" spans="1:12" x14ac:dyDescent="0.35">
      <c r="A67" s="12" t="s">
        <v>247</v>
      </c>
      <c r="B67" s="12" t="s">
        <v>96</v>
      </c>
      <c r="C67" s="12" t="s">
        <v>97</v>
      </c>
      <c r="D67" s="12" t="s">
        <v>98</v>
      </c>
      <c r="E67" s="12">
        <v>127</v>
      </c>
      <c r="F67" s="12">
        <v>127</v>
      </c>
      <c r="G67" s="12">
        <v>0</v>
      </c>
      <c r="H67" s="12">
        <v>0</v>
      </c>
      <c r="I67" s="12">
        <f t="shared" si="1"/>
        <v>127</v>
      </c>
      <c r="J67" s="12">
        <v>2</v>
      </c>
      <c r="K67" s="12">
        <v>128</v>
      </c>
      <c r="L67" s="12">
        <f>'Control Center'!$B$19*'Master Inventory'!J67</f>
        <v>20</v>
      </c>
    </row>
    <row r="68" spans="1:12" x14ac:dyDescent="0.35">
      <c r="A68" s="12" t="s">
        <v>248</v>
      </c>
      <c r="B68" s="12" t="s">
        <v>178</v>
      </c>
      <c r="C68" s="12" t="s">
        <v>179</v>
      </c>
      <c r="D68" s="12" t="s">
        <v>180</v>
      </c>
      <c r="E68" s="12">
        <v>57</v>
      </c>
      <c r="F68" s="12">
        <v>57</v>
      </c>
      <c r="G68" s="12">
        <v>0</v>
      </c>
      <c r="H68" s="12">
        <v>0</v>
      </c>
      <c r="I68" s="12">
        <f t="shared" si="1"/>
        <v>57</v>
      </c>
      <c r="J68" s="12">
        <v>1</v>
      </c>
      <c r="K68" s="12">
        <v>64</v>
      </c>
      <c r="L68" s="12">
        <f>'Control Center'!$B$19*'Master Inventory'!J68</f>
        <v>20</v>
      </c>
    </row>
    <row r="69" spans="1:12" x14ac:dyDescent="0.35">
      <c r="A69" s="12" t="s">
        <v>248</v>
      </c>
      <c r="B69" s="12" t="s">
        <v>187</v>
      </c>
      <c r="C69" s="12" t="s">
        <v>188</v>
      </c>
      <c r="D69" s="12" t="s">
        <v>189</v>
      </c>
      <c r="E69" s="12">
        <v>64</v>
      </c>
      <c r="F69" s="12">
        <v>64</v>
      </c>
      <c r="G69" s="12">
        <v>0</v>
      </c>
      <c r="H69" s="12">
        <v>0</v>
      </c>
      <c r="I69" s="12">
        <f t="shared" si="1"/>
        <v>64</v>
      </c>
      <c r="J69" s="12">
        <v>1</v>
      </c>
      <c r="K69" s="12">
        <v>64</v>
      </c>
      <c r="L69" s="12">
        <f>'Control Center'!$B$19*'Master Inventory'!J69</f>
        <v>40</v>
      </c>
    </row>
    <row r="70" spans="1:12" x14ac:dyDescent="0.35">
      <c r="A70" s="12" t="s">
        <v>248</v>
      </c>
      <c r="B70" s="12" t="s">
        <v>190</v>
      </c>
      <c r="C70" s="12" t="s">
        <v>191</v>
      </c>
      <c r="D70" s="12" t="s">
        <v>192</v>
      </c>
      <c r="E70" s="12">
        <v>58</v>
      </c>
      <c r="F70" s="12">
        <v>58</v>
      </c>
      <c r="G70" s="12">
        <v>0</v>
      </c>
      <c r="H70" s="12">
        <v>0</v>
      </c>
      <c r="I70" s="12">
        <f t="shared" si="1"/>
        <v>58</v>
      </c>
      <c r="J70" s="12">
        <v>1</v>
      </c>
      <c r="K70" s="12">
        <v>64</v>
      </c>
      <c r="L70" s="12">
        <f>'Control Center'!$B$19*'Master Inventory'!J70</f>
        <v>40</v>
      </c>
    </row>
    <row r="71" spans="1:12" x14ac:dyDescent="0.35">
      <c r="A71" s="12" t="s">
        <v>248</v>
      </c>
      <c r="B71" s="12" t="s">
        <v>216</v>
      </c>
      <c r="C71" s="12" t="s">
        <v>217</v>
      </c>
      <c r="D71" s="12" t="s">
        <v>218</v>
      </c>
      <c r="E71" s="12">
        <v>46</v>
      </c>
      <c r="F71" s="12">
        <v>46</v>
      </c>
      <c r="G71" s="12">
        <v>0</v>
      </c>
      <c r="H71" s="12">
        <v>0</v>
      </c>
      <c r="I71" s="12">
        <f t="shared" si="1"/>
        <v>46</v>
      </c>
      <c r="J71" s="12">
        <v>1</v>
      </c>
      <c r="K71" s="12">
        <v>64</v>
      </c>
      <c r="L71" s="12">
        <f>'Control Center'!$B$19*'Master Inventory'!J71</f>
        <v>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Control Center</vt:lpstr>
      <vt:lpstr>Delivery</vt:lpstr>
      <vt:lpstr>Quality Control</vt:lpstr>
      <vt:lpstr>Master Inventory</vt:lpstr>
      <vt:lpstr>Completed Builds</vt:lpstr>
      <vt:lpstr>Reports</vt:lpstr>
      <vt:lpstr>Report_Data</vt:lpstr>
      <vt:lpstr>Managers</vt:lpstr>
      <vt:lpstr>Backup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Roy Matsunaga</dc:creator>
  <cp:lastModifiedBy>Roy Matsunaga</cp:lastModifiedBy>
  <dcterms:created xsi:type="dcterms:W3CDTF">2014-03-25T01:58:15Z</dcterms:created>
  <dcterms:modified xsi:type="dcterms:W3CDTF">2014-04-15T06:18:46Z</dcterms:modified>
</cp:coreProperties>
</file>